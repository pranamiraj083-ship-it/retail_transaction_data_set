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excel_project\"/>
    </mc:Choice>
  </mc:AlternateContent>
  <xr:revisionPtr revIDLastSave="0" documentId="8_{DDF0A6C2-FEA4-40BE-8484-378DAF7C4DE3}" xr6:coauthVersionLast="47" xr6:coauthVersionMax="47" xr10:uidLastSave="{00000000-0000-0000-0000-000000000000}"/>
  <bookViews>
    <workbookView xWindow="-110" yWindow="-110" windowWidth="19420" windowHeight="10300" xr2:uid="{8E5DAD5F-E307-49B5-90E4-417BCC6F7D04}"/>
  </bookViews>
  <sheets>
    <sheet name="dashboard" sheetId="13" r:id="rId1"/>
    <sheet name="Retail_Transactions_Dataset_" sheetId="2" r:id="rId2"/>
    <sheet name="formulas" sheetId="9" r:id="rId3"/>
    <sheet name="sales_by_city" sheetId="12" r:id="rId4"/>
    <sheet name="payment_mathod_" sheetId="4" r:id="rId5"/>
    <sheet name="store_type_analysis_" sheetId="5" r:id="rId6"/>
    <sheet name="seasonal_sales_" sheetId="6" r:id="rId7"/>
    <sheet name="customer_category_analysis" sheetId="7" r:id="rId8"/>
    <sheet name="promotion" sheetId="8" r:id="rId9"/>
    <sheet name="documantation" sheetId="15" r:id="rId10"/>
  </sheets>
  <definedNames>
    <definedName name="NativeTimeline_Date">#N/A</definedName>
    <definedName name="Slicer_City">#N/A</definedName>
    <definedName name="Slicer_Payment_Method">#N/A</definedName>
    <definedName name="Slicer_Season">#N/A</definedName>
    <definedName name="Slicer_Store_Type">#N/A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 i="13" l="1"/>
  <c r="H10" i="13"/>
  <c r="H9" i="13"/>
  <c r="H8" i="13"/>
  <c r="D2" i="9"/>
  <c r="C2" i="9"/>
  <c r="B2" i="9"/>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alcChain>
</file>

<file path=xl/sharedStrings.xml><?xml version="1.0" encoding="utf-8"?>
<sst xmlns="http://schemas.openxmlformats.org/spreadsheetml/2006/main" count="8126" uniqueCount="1966">
  <si>
    <t>Transaction_ID</t>
  </si>
  <si>
    <t>Date</t>
  </si>
  <si>
    <t>Customer_Name</t>
  </si>
  <si>
    <t>Product</t>
  </si>
  <si>
    <t>Total_Items</t>
  </si>
  <si>
    <t>Total_Cost</t>
  </si>
  <si>
    <t>Payment_Method</t>
  </si>
  <si>
    <t>City</t>
  </si>
  <si>
    <t>Store_Type</t>
  </si>
  <si>
    <t>Discount_Applied</t>
  </si>
  <si>
    <t>Customer_Category</t>
  </si>
  <si>
    <t>Season</t>
  </si>
  <si>
    <t>Promotion</t>
  </si>
  <si>
    <t>Stacey Price</t>
  </si>
  <si>
    <t>['Ketchup', 'Shaving Cream', 'Light Bulbs']</t>
  </si>
  <si>
    <t>Mobile Payment</t>
  </si>
  <si>
    <t>Los Angeles</t>
  </si>
  <si>
    <t>Warehouse Club</t>
  </si>
  <si>
    <t>Homemaker</t>
  </si>
  <si>
    <t>Winter</t>
  </si>
  <si>
    <t>None</t>
  </si>
  <si>
    <t>Michelle Carlson</t>
  </si>
  <si>
    <t>['Ice Cream', 'Milk', 'Olive Oil', 'Bread', 'Potatoes']</t>
  </si>
  <si>
    <t>Cash</t>
  </si>
  <si>
    <t>San Francisco</t>
  </si>
  <si>
    <t>Specialty Store</t>
  </si>
  <si>
    <t>Professional</t>
  </si>
  <si>
    <t>Fall</t>
  </si>
  <si>
    <t>BOGO (Buy One Get One)</t>
  </si>
  <si>
    <t>Lisa Graves</t>
  </si>
  <si>
    <t>['Spinach']</t>
  </si>
  <si>
    <t>Credit Card</t>
  </si>
  <si>
    <t>Houston</t>
  </si>
  <si>
    <t>Department Store</t>
  </si>
  <si>
    <t>Mrs. Patricia May</t>
  </si>
  <si>
    <t>['Tissues', 'Mustard']</t>
  </si>
  <si>
    <t>Chicago</t>
  </si>
  <si>
    <t>Pharmacy</t>
  </si>
  <si>
    <t>Spring</t>
  </si>
  <si>
    <t>Susan Mitchell</t>
  </si>
  <si>
    <t>['Dish Soap']</t>
  </si>
  <si>
    <t>Debit Card</t>
  </si>
  <si>
    <t>Young Adult</t>
  </si>
  <si>
    <t>Discount on Selected Items</t>
  </si>
  <si>
    <t>Joshua Frazier</t>
  </si>
  <si>
    <t>['Toothpaste', 'Chicken']</t>
  </si>
  <si>
    <t>Supermarket</t>
  </si>
  <si>
    <t>Retiree</t>
  </si>
  <si>
    <t>Victoria Garrett</t>
  </si>
  <si>
    <t>['Honey', 'BBQ Sauce', 'Soda', 'Olive Oil', 'Garden Hose']</t>
  </si>
  <si>
    <t>Boston</t>
  </si>
  <si>
    <t>Student</t>
  </si>
  <si>
    <t>Summer</t>
  </si>
  <si>
    <t>Sydney Waller</t>
  </si>
  <si>
    <t>['Syrup', 'Trash Cans', 'Pancake Mix', 'Water', 'Mayonnaise']</t>
  </si>
  <si>
    <t>Kimberly Morgan</t>
  </si>
  <si>
    <t>['Insect Repellent']</t>
  </si>
  <si>
    <t>Lori Conway</t>
  </si>
  <si>
    <t>['Soap', 'Baby Wipes', 'Soda']</t>
  </si>
  <si>
    <t>Convenience Store</t>
  </si>
  <si>
    <t>Randall Roberts</t>
  </si>
  <si>
    <t>['Extension Cords', 'Soda', 'Water', 'Garden Hose', 'Cleaning Spray']</t>
  </si>
  <si>
    <t>Middle-Aged</t>
  </si>
  <si>
    <t>Jeremiah White</t>
  </si>
  <si>
    <t>['Tea', 'Paper Towels', 'Spinach']</t>
  </si>
  <si>
    <t>New York</t>
  </si>
  <si>
    <t>Sheila Mcgee</t>
  </si>
  <si>
    <t>['Salmon', 'Shaving Cream']</t>
  </si>
  <si>
    <t>Allen Miles</t>
  </si>
  <si>
    <t>['Trash Bags', 'Apple', 'Mop', 'Hair Gel']</t>
  </si>
  <si>
    <t>Seattle</t>
  </si>
  <si>
    <t>Mark Howard</t>
  </si>
  <si>
    <t>['Razors', 'Laundry Detergent', 'Beef']</t>
  </si>
  <si>
    <t>Jesse Henderson</t>
  </si>
  <si>
    <t>['Cereal', 'Vinegar', 'Bath Towels']</t>
  </si>
  <si>
    <t>Eric Wall</t>
  </si>
  <si>
    <t>['Air Freshener', 'Feminine Hygiene Products']</t>
  </si>
  <si>
    <t>Miami</t>
  </si>
  <si>
    <t>Vanessa Peck</t>
  </si>
  <si>
    <t>['Power Strips', 'Honey', 'Ketchup', 'Tea', 'Shampoo']</t>
  </si>
  <si>
    <t>Senior Citizen</t>
  </si>
  <si>
    <t>Dominique Stout</t>
  </si>
  <si>
    <t>['Mustard', 'Dustpan']</t>
  </si>
  <si>
    <t>Charles Brooks</t>
  </si>
  <si>
    <t>['Coffee']</t>
  </si>
  <si>
    <t>Angela Jones</t>
  </si>
  <si>
    <t>['Pancake Mix', 'Vacuum Cleaner']</t>
  </si>
  <si>
    <t>Teenager</t>
  </si>
  <si>
    <t>John Roberts</t>
  </si>
  <si>
    <t>['Coffee', 'Shaving Cream']</t>
  </si>
  <si>
    <t>Nicole White</t>
  </si>
  <si>
    <t>['Shrimp', 'Iron', 'Cleaning Spray', 'Toilet Paper', 'Peanut Butter']</t>
  </si>
  <si>
    <t>Don Harris</t>
  </si>
  <si>
    <t>['Dishware', 'Pickles']</t>
  </si>
  <si>
    <t>Hannah Rowland</t>
  </si>
  <si>
    <t>['Sponges', 'Vacuum Cleaner', 'Iron']</t>
  </si>
  <si>
    <t>Dallas</t>
  </si>
  <si>
    <t>Jessica Gonzalez</t>
  </si>
  <si>
    <t>['Broom', 'Cereal']</t>
  </si>
  <si>
    <t>Christina Smith</t>
  </si>
  <si>
    <t>['Garden Hose', 'Trash Cans']</t>
  </si>
  <si>
    <t>Latoya Allen</t>
  </si>
  <si>
    <t>['Ketchup', 'Trash Cans', 'Toothbrush']</t>
  </si>
  <si>
    <t>Clayton Roth</t>
  </si>
  <si>
    <t>['Tomatoes', 'Salmon']</t>
  </si>
  <si>
    <t>Dennis Alvarez</t>
  </si>
  <si>
    <t>['Tea', 'Salmon', 'Bath Towels', 'Toothpaste']</t>
  </si>
  <si>
    <t>Jose Hill</t>
  </si>
  <si>
    <t>['Olive Oil']</t>
  </si>
  <si>
    <t>Kristin Webb</t>
  </si>
  <si>
    <t>['Extension Cords', 'Razors', 'Chips', 'Shampoo']</t>
  </si>
  <si>
    <t>Robert Gilbert DDS</t>
  </si>
  <si>
    <t>['Apple', 'Butter']</t>
  </si>
  <si>
    <t>Thomas Oliver</t>
  </si>
  <si>
    <t>['Broom', 'Chicken', 'Spinach', 'Broom']</t>
  </si>
  <si>
    <t>Stacy Owen</t>
  </si>
  <si>
    <t>['Yogurt', 'Ice Cream', 'Insect Repellent']</t>
  </si>
  <si>
    <t>Ann Kane</t>
  </si>
  <si>
    <t>['Onions', 'Dish Soap']</t>
  </si>
  <si>
    <t>Mr. John Long</t>
  </si>
  <si>
    <t>['Tomatoes', 'Mustard', 'Apple', 'Hair Gel']</t>
  </si>
  <si>
    <t>Annette Robinson</t>
  </si>
  <si>
    <t>['Garden Hose']</t>
  </si>
  <si>
    <t>Kimberly Baldwin</t>
  </si>
  <si>
    <t>['Shower Gel', 'Dish Soap', 'Plant Fertilizer', 'Garden Hose', 'Tuna']</t>
  </si>
  <si>
    <t>Donald Bradford</t>
  </si>
  <si>
    <t>['Potatoes', 'Air Freshener', 'Sponges', 'Onions', 'Laundry Detergent']</t>
  </si>
  <si>
    <t>Mike Gilbert</t>
  </si>
  <si>
    <t>['Feminine Hygiene Products']</t>
  </si>
  <si>
    <t>Atlanta</t>
  </si>
  <si>
    <t>Rebecca Morton</t>
  </si>
  <si>
    <t>['Shaving Cream', 'Butter']</t>
  </si>
  <si>
    <t>Nicole Hernandez</t>
  </si>
  <si>
    <t>['Lawn Mower', 'Eggs', 'Dustpan', 'Peanut Butter', 'Beef']</t>
  </si>
  <si>
    <t>Paige White</t>
  </si>
  <si>
    <t>['Dustpan', 'BBQ Sauce', 'Toothbrush', 'Deodorant', 'Dish Soap']</t>
  </si>
  <si>
    <t>Mr. Lance Perkins</t>
  </si>
  <si>
    <t>['Bread', 'Dustpan', 'Ketchup', 'Ironing Board']</t>
  </si>
  <si>
    <t>Kelly Foley</t>
  </si>
  <si>
    <t>['Soap']</t>
  </si>
  <si>
    <t>Paula Maldonado</t>
  </si>
  <si>
    <t>['Razors']</t>
  </si>
  <si>
    <t>Roberto Franklin</t>
  </si>
  <si>
    <t>['Pasta', 'Olive Oil']</t>
  </si>
  <si>
    <t>Steven Clements</t>
  </si>
  <si>
    <t>['Beef', 'Milk', 'Salmon', 'Shampoo']</t>
  </si>
  <si>
    <t>Katherine Luna</t>
  </si>
  <si>
    <t>['Tea']</t>
  </si>
  <si>
    <t>Ryan Hammond</t>
  </si>
  <si>
    <t>['Hand Sanitizer', 'Plant Fertilizer', 'Baby Wipes', 'Hand Sanitizer', 'Power Strips']</t>
  </si>
  <si>
    <t>Valerie Johnson</t>
  </si>
  <si>
    <t>['Bread']</t>
  </si>
  <si>
    <t>Jennifer Mitchell</t>
  </si>
  <si>
    <t>['Vacuum Cleaner', 'Apple', 'Shrimp', 'Trash Bags', 'Carrots']</t>
  </si>
  <si>
    <t>Nathan Schwartz</t>
  </si>
  <si>
    <t>['Shrimp', 'Cleaning Rags', 'Olive Oil', 'Soda']</t>
  </si>
  <si>
    <t>Rebecca Gilmore</t>
  </si>
  <si>
    <t>['Olive Oil', 'Feminine Hygiene Products', 'Toothpaste', 'Soap', 'Bath Towels']</t>
  </si>
  <si>
    <t>Todd Parrish</t>
  </si>
  <si>
    <t>['Peanut Butter']</t>
  </si>
  <si>
    <t>Christopher Blake</t>
  </si>
  <si>
    <t>['Orange']</t>
  </si>
  <si>
    <t>Marie Young</t>
  </si>
  <si>
    <t>['Syrup', 'Tuna', 'Paper Towels', 'Toothpaste', 'Mustard']</t>
  </si>
  <si>
    <t>James Mccarthy</t>
  </si>
  <si>
    <t>['Laundry Detergent', 'BBQ Sauce']</t>
  </si>
  <si>
    <t>Sharon Espinoza</t>
  </si>
  <si>
    <t>['Dish Soap', 'Shower Gel', 'Lawn Mower', 'Dustpan', 'Toothpaste']</t>
  </si>
  <si>
    <t>Rachel Rasmussen</t>
  </si>
  <si>
    <t>['Dustpan', 'Bath Towels', 'Pickles', 'Sponges']</t>
  </si>
  <si>
    <t>Thomas Lowery</t>
  </si>
  <si>
    <t>['Milk', 'Tuna', 'Ketchup', 'Broom']</t>
  </si>
  <si>
    <t>Richard Johnston</t>
  </si>
  <si>
    <t>['Beef', 'Bread', 'Dustpan']</t>
  </si>
  <si>
    <t>Rebecca Vasquez</t>
  </si>
  <si>
    <t>['Pancake Mix', 'Dustpan', 'Laundry Detergent', 'Garden Hose']</t>
  </si>
  <si>
    <t>Samuel Mays</t>
  </si>
  <si>
    <t>['Cereal Bars', 'Air Freshener', 'Honey', 'Laundry Detergent']</t>
  </si>
  <si>
    <t>Karen Williams</t>
  </si>
  <si>
    <t>['Banana', 'Garden Hose', 'Extension Cords', 'Toothpaste', 'Syrup']</t>
  </si>
  <si>
    <t>Ian Murphy</t>
  </si>
  <si>
    <t>['Shrimp']</t>
  </si>
  <si>
    <t>Elizabeth Li</t>
  </si>
  <si>
    <t>['Broom', 'Pickles', 'Cleaning Rags']</t>
  </si>
  <si>
    <t>Brenda Chase</t>
  </si>
  <si>
    <t>['Peanut Butter', 'Lawn Mower', 'Syrup', 'Chicken', 'Toothpaste']</t>
  </si>
  <si>
    <t>Anthony Miranda</t>
  </si>
  <si>
    <t>['Peanut Butter', 'Razors']</t>
  </si>
  <si>
    <t>Patricia Adams</t>
  </si>
  <si>
    <t>['Mop', 'Laundry Detergent', 'Vacuum Cleaner']</t>
  </si>
  <si>
    <t>Jacob Douglas</t>
  </si>
  <si>
    <t>['Eggs', 'Shower Gel', 'Olive Oil']</t>
  </si>
  <si>
    <t>Martin Gonzalez</t>
  </si>
  <si>
    <t>['Vinegar']</t>
  </si>
  <si>
    <t>Sherry Nunez</t>
  </si>
  <si>
    <t>['Shaving Cream', 'Apple', 'Pickles']</t>
  </si>
  <si>
    <t>Joshua Livingston</t>
  </si>
  <si>
    <t>['Canned Soup', 'Tea']</t>
  </si>
  <si>
    <t>Kimberly Morton</t>
  </si>
  <si>
    <t>['Syrup', 'Salmon']</t>
  </si>
  <si>
    <t>Robin Graham</t>
  </si>
  <si>
    <t>Donna Randall</t>
  </si>
  <si>
    <t>['Hair Gel', 'Tomatoes', 'Cheese', 'Power Strips', 'Beef']</t>
  </si>
  <si>
    <t>Alfred Schneider</t>
  </si>
  <si>
    <t>['Light Bulbs', 'Tissues']</t>
  </si>
  <si>
    <t>Taylor Wilson</t>
  </si>
  <si>
    <t>['Olive Oil', 'Banana']</t>
  </si>
  <si>
    <t>Matthew Henderson</t>
  </si>
  <si>
    <t>['Mop', 'Jam', 'Cheese', 'Hand Sanitizer']</t>
  </si>
  <si>
    <t>Christina Hoover</t>
  </si>
  <si>
    <t>['Diapers', 'Light Bulbs', 'Soda', 'Toothpaste']</t>
  </si>
  <si>
    <t>Paul Tate</t>
  </si>
  <si>
    <t>['Light Bulbs', 'Hair Gel', 'Mustard', 'Iron']</t>
  </si>
  <si>
    <t>Melissa Rose</t>
  </si>
  <si>
    <t>['Hand Sanitizer', 'Dish Soap', 'Deodorant', 'Cereal']</t>
  </si>
  <si>
    <t>Brittany Simmons</t>
  </si>
  <si>
    <t>['Ketchup', 'Toothpaste']</t>
  </si>
  <si>
    <t>Henry Kirk</t>
  </si>
  <si>
    <t>['Toothpaste', 'Dishware', 'Bread', 'Eggs']</t>
  </si>
  <si>
    <t>James Richardson</t>
  </si>
  <si>
    <t>['Iron', 'Plant Fertilizer', 'Eggs', 'Pickles']</t>
  </si>
  <si>
    <t>Keith Rodriguez</t>
  </si>
  <si>
    <t>['Air Freshener', 'Chicken', 'Shaving Cream']</t>
  </si>
  <si>
    <t>Marie Owen</t>
  </si>
  <si>
    <t>['Plant Fertilizer', 'Tuna', 'Orange']</t>
  </si>
  <si>
    <t>James Adams</t>
  </si>
  <si>
    <t>['Mop']</t>
  </si>
  <si>
    <t>Troy Durham</t>
  </si>
  <si>
    <t>['Baby Wipes']</t>
  </si>
  <si>
    <t>Dr. Adam Chan</t>
  </si>
  <si>
    <t>['Beef', 'Cleaning Spray', 'Sponges']</t>
  </si>
  <si>
    <t>Mark Blankenship</t>
  </si>
  <si>
    <t>['Tissues', 'Cheese', 'Toilet Paper', 'Cereal Bars', 'Cereal Bars']</t>
  </si>
  <si>
    <t>Brooke Bennett</t>
  </si>
  <si>
    <t>['Water', 'Olive Oil']</t>
  </si>
  <si>
    <t>Dale Castaneda</t>
  </si>
  <si>
    <t>['Banana', 'Toothpaste', 'Iron']</t>
  </si>
  <si>
    <t>Jim Wells</t>
  </si>
  <si>
    <t>['Potatoes', 'Cleaning Spray']</t>
  </si>
  <si>
    <t>Michael Johnson</t>
  </si>
  <si>
    <t>['Cleaning Rags', 'Syrup', 'BBQ Sauce']</t>
  </si>
  <si>
    <t>Lisa Delgado</t>
  </si>
  <si>
    <t>['Dish Soap', 'Apple']</t>
  </si>
  <si>
    <t>Matthew Jackson</t>
  </si>
  <si>
    <t>['Salmon', 'Dustpan', 'Yogurt']</t>
  </si>
  <si>
    <t>Nicholas Stephens</t>
  </si>
  <si>
    <t>['Eggs']</t>
  </si>
  <si>
    <t>Jean Moore</t>
  </si>
  <si>
    <t>['Deodorant']</t>
  </si>
  <si>
    <t>Daniel Johnson</t>
  </si>
  <si>
    <t>['Canned Soup']</t>
  </si>
  <si>
    <t>Maria Murray MD</t>
  </si>
  <si>
    <t>['Soda', 'Laundry Detergent', 'Vinegar', 'Toothbrush']</t>
  </si>
  <si>
    <t>Scott Hunter</t>
  </si>
  <si>
    <t>['Bath Towels', 'Canned Soup']</t>
  </si>
  <si>
    <t>Sean Moore</t>
  </si>
  <si>
    <t>['Air Freshener', 'Tuna', 'Onions', 'Baby Wipes']</t>
  </si>
  <si>
    <t>Alexander Harmon</t>
  </si>
  <si>
    <t>['Trash Bags', 'Feminine Hygiene Products', 'Lawn Mower', 'Ice Cream']</t>
  </si>
  <si>
    <t>David Rodriguez</t>
  </si>
  <si>
    <t>['Tuna', 'Coffee', 'Trash Cans']</t>
  </si>
  <si>
    <t>Linda Davis</t>
  </si>
  <si>
    <t>['Sponges', 'Cleaning Rags', 'Razors', 'Tuna']</t>
  </si>
  <si>
    <t>Linda Hayden</t>
  </si>
  <si>
    <t>['Razors', 'Light Bulbs', 'Trash Cans', 'Honey']</t>
  </si>
  <si>
    <t>Connie Baker</t>
  </si>
  <si>
    <t>['Mustard', 'Soap', 'Bread', 'Pasta', 'Shaving Cream']</t>
  </si>
  <si>
    <t>Mr. Kenneth Watson</t>
  </si>
  <si>
    <t>['Chips', 'Canned Soup', 'Cleaning Spray', 'Olive Oil']</t>
  </si>
  <si>
    <t>Maurice Brown</t>
  </si>
  <si>
    <t>['Air Freshener', 'Laundry Detergent', 'Cleaning Spray', 'Shaving Cream', 'Ketchup']</t>
  </si>
  <si>
    <t>William Wood</t>
  </si>
  <si>
    <t>['Tissues', 'Insect Repellent', 'Bread', 'Pancake Mix']</t>
  </si>
  <si>
    <t>Javier Ryan</t>
  </si>
  <si>
    <t>['Feminine Hygiene Products', 'Pickles']</t>
  </si>
  <si>
    <t>Mr. David Casey</t>
  </si>
  <si>
    <t>['Pasta', 'Orange']</t>
  </si>
  <si>
    <t>Ms. Megan Hicks</t>
  </si>
  <si>
    <t>['Shower Gel', 'Pickles', 'Bread', 'Sponges']</t>
  </si>
  <si>
    <t>Debbie Tucker</t>
  </si>
  <si>
    <t>['Apple']</t>
  </si>
  <si>
    <t>Joseph Guzman</t>
  </si>
  <si>
    <t>['Spinach', 'Chips', 'Diapers', 'Tissues']</t>
  </si>
  <si>
    <t>Xavier Tran</t>
  </si>
  <si>
    <t>['Yogurt', 'Power Strips']</t>
  </si>
  <si>
    <t>Janet Sullivan</t>
  </si>
  <si>
    <t>['Extension Cords', 'Insect Repellent']</t>
  </si>
  <si>
    <t>James Ray</t>
  </si>
  <si>
    <t>['Cleaning Spray', 'Trash Cans']</t>
  </si>
  <si>
    <t>Jason Marshall</t>
  </si>
  <si>
    <t>['Vacuum Cleaner', 'Spinach']</t>
  </si>
  <si>
    <t>Alexander Wright</t>
  </si>
  <si>
    <t>['Shampoo']</t>
  </si>
  <si>
    <t>Cathy Jackson</t>
  </si>
  <si>
    <t>['Bath Towels', 'Feminine Hygiene Products']</t>
  </si>
  <si>
    <t>Mercedes Anderson</t>
  </si>
  <si>
    <t>['Ketchup', 'Eggs', 'Mop', 'Mop']</t>
  </si>
  <si>
    <t>Anthony Christensen</t>
  </si>
  <si>
    <t>['Pasta', 'Coffee', 'Canned Soup']</t>
  </si>
  <si>
    <t>Cameron Walker</t>
  </si>
  <si>
    <t>['Canned Soup', 'Toothpaste', 'Olive Oil']</t>
  </si>
  <si>
    <t>Paul Brown</t>
  </si>
  <si>
    <t>['Soap', 'Trash Cans', 'Shampoo', 'Hair Gel', 'Eggs']</t>
  </si>
  <si>
    <t>Kimberly Stevens</t>
  </si>
  <si>
    <t>['Paper Towels']</t>
  </si>
  <si>
    <t>Jordan Garcia</t>
  </si>
  <si>
    <t>['Rice', 'Broom', 'Insect Repellent', 'Shower Gel']</t>
  </si>
  <si>
    <t>Ryan Joseph II</t>
  </si>
  <si>
    <t>['Tea', 'Ironing Board']</t>
  </si>
  <si>
    <t>Debbie Brown</t>
  </si>
  <si>
    <t>['Hand Sanitizer', 'Tomatoes', 'Yogurt', 'Hair Gel']</t>
  </si>
  <si>
    <t>Dawn Pratt</t>
  </si>
  <si>
    <t>['Carrots', 'Extension Cords']</t>
  </si>
  <si>
    <t>Madison Hill</t>
  </si>
  <si>
    <t>['Carrots', 'Ice Cream', 'Orange', 'Hair Gel']</t>
  </si>
  <si>
    <t>Kelly Atkinson</t>
  </si>
  <si>
    <t>['Hair Gel', 'Toothpaste', 'Dish Soap', 'Sponges', 'Spinach']</t>
  </si>
  <si>
    <t>Patricia Fuller</t>
  </si>
  <si>
    <t>['Insect Repellent', 'Peanut Butter', 'Potatoes', 'Tissues', 'Trash Cans']</t>
  </si>
  <si>
    <t>Debra Brown</t>
  </si>
  <si>
    <t>['Feminine Hygiene Products', 'Ironing Board', 'Power Strips', 'Tomatoes']</t>
  </si>
  <si>
    <t>Brett Hernandez</t>
  </si>
  <si>
    <t>['Ketchup', 'Power Strips', 'Dustpan']</t>
  </si>
  <si>
    <t>Diane Hughes</t>
  </si>
  <si>
    <t>['BBQ Sauce', 'Tuna', 'Honey']</t>
  </si>
  <si>
    <t>Jeffrey Jones</t>
  </si>
  <si>
    <t>['Tuna', 'Toilet Paper']</t>
  </si>
  <si>
    <t>Frank Torres</t>
  </si>
  <si>
    <t>['Cheese', 'Shaving Cream']</t>
  </si>
  <si>
    <t>Daniel Mcguire</t>
  </si>
  <si>
    <t>['Coffee', 'Laundry Detergent', 'Jam']</t>
  </si>
  <si>
    <t>Russell Harmon</t>
  </si>
  <si>
    <t>['Deodorant', 'Ironing Board', 'Spinach']</t>
  </si>
  <si>
    <t>John Benitez</t>
  </si>
  <si>
    <t>['Ketchup', 'Razors', 'Shaving Cream']</t>
  </si>
  <si>
    <t>Wesley Delacruz</t>
  </si>
  <si>
    <t>['Dish Soap', 'Ironing Board', 'Carrots', 'Light Bulbs']</t>
  </si>
  <si>
    <t>Shannon Reid</t>
  </si>
  <si>
    <t>['Hand Sanitizer']</t>
  </si>
  <si>
    <t>Steven Brown</t>
  </si>
  <si>
    <t>['Laundry Detergent', 'BBQ Sauce', 'Butter', 'Garden Hose', 'Paper Towels']</t>
  </si>
  <si>
    <t>Harold Miller</t>
  </si>
  <si>
    <t>['Peanut Butter', 'Coffee']</t>
  </si>
  <si>
    <t>Jessica Middleton</t>
  </si>
  <si>
    <t>['Chips', 'Broom', 'Paper Towels']</t>
  </si>
  <si>
    <t>Luke Bell</t>
  </si>
  <si>
    <t>['Orange', 'Orange']</t>
  </si>
  <si>
    <t>James Morales</t>
  </si>
  <si>
    <t>['Potatoes', 'Light Bulbs', 'Toothbrush']</t>
  </si>
  <si>
    <t>Ian Wilkinson</t>
  </si>
  <si>
    <t>['Pancake Mix', 'Cheese', 'Insect Repellent', 'Beef', 'Bread']</t>
  </si>
  <si>
    <t>Jason Andrade</t>
  </si>
  <si>
    <t>['Onions']</t>
  </si>
  <si>
    <t>Zachary Anderson</t>
  </si>
  <si>
    <t>['Air Freshener', 'Sponges']</t>
  </si>
  <si>
    <t>Michael Perkins</t>
  </si>
  <si>
    <t>['Air Freshener']</t>
  </si>
  <si>
    <t>Andre Davis</t>
  </si>
  <si>
    <t>Heather Le</t>
  </si>
  <si>
    <t>['Tea', 'Soda']</t>
  </si>
  <si>
    <t>Morgan Black</t>
  </si>
  <si>
    <t>['Cereal Bars', 'Paper Towels', 'Orange']</t>
  </si>
  <si>
    <t>Chelsea Harding</t>
  </si>
  <si>
    <t>['Hair Gel', 'Trash Bags', 'Power Strips', 'Feminine Hygiene Products']</t>
  </si>
  <si>
    <t>Tracy Bruce</t>
  </si>
  <si>
    <t>Michael Perez</t>
  </si>
  <si>
    <t>['Water', 'Mop']</t>
  </si>
  <si>
    <t>Ryan Atkinson</t>
  </si>
  <si>
    <t>['Tissues', 'Jam']</t>
  </si>
  <si>
    <t>Trevor Miller</t>
  </si>
  <si>
    <t>Lisa Taylor</t>
  </si>
  <si>
    <t>['Plant Fertilizer', 'Shower Gel', 'Tuna']</t>
  </si>
  <si>
    <t>Erik Russell</t>
  </si>
  <si>
    <t>['Pickles', 'Cleaning Spray']</t>
  </si>
  <si>
    <t>Ms. Bianca Larson DDS</t>
  </si>
  <si>
    <t>['BBQ Sauce', 'Eggs', 'Shrimp']</t>
  </si>
  <si>
    <t>Gary Jones</t>
  </si>
  <si>
    <t>['Trash Cans', 'Toothpaste', 'Broom', 'Baby Wipes', 'Tea']</t>
  </si>
  <si>
    <t>Douglas Gray</t>
  </si>
  <si>
    <t>['Power Strips']</t>
  </si>
  <si>
    <t>Lori Davis</t>
  </si>
  <si>
    <t>['Toothbrush', 'Toothbrush', 'BBQ Sauce', 'Dustpan', 'Banana']</t>
  </si>
  <si>
    <t>Kelly Hall MD</t>
  </si>
  <si>
    <t>['Bread', 'Toothpaste', 'Syrup', 'Ironing Board', 'Cleaning Spray']</t>
  </si>
  <si>
    <t>Scott Johnson</t>
  </si>
  <si>
    <t>['Onions', 'Peanut Butter', 'Tomatoes', 'Mayonnaise']</t>
  </si>
  <si>
    <t>Regina Andersen</t>
  </si>
  <si>
    <t>['Syrup', 'Tuna']</t>
  </si>
  <si>
    <t>Jennifer Schmidt</t>
  </si>
  <si>
    <t>['Power Strips', 'Eggs', 'Butter', 'Onions']</t>
  </si>
  <si>
    <t>Manuel Drake</t>
  </si>
  <si>
    <t>['Tissues', 'Spinach', 'Light Bulbs']</t>
  </si>
  <si>
    <t>James Ho DDS</t>
  </si>
  <si>
    <t>['Mustard', 'Trash Cans']</t>
  </si>
  <si>
    <t>Ryan Snow</t>
  </si>
  <si>
    <t>['Honey', 'Cereal Bars', 'Sponges', 'Olive Oil']</t>
  </si>
  <si>
    <t>Jessica Nolan</t>
  </si>
  <si>
    <t>['BBQ Sauce', 'Cleaning Spray', 'Broom']</t>
  </si>
  <si>
    <t>Joann Davies</t>
  </si>
  <si>
    <t>['Trash Bags', 'Extension Cords', 'Beef']</t>
  </si>
  <si>
    <t>Lori Hill</t>
  </si>
  <si>
    <t>Trevor Jenkins</t>
  </si>
  <si>
    <t>['Honey', 'Salmon', 'Diapers', 'Hair Gel']</t>
  </si>
  <si>
    <t>Jose Baker</t>
  </si>
  <si>
    <t>['Canned Soup', 'Deodorant', 'Banana', 'Chips', 'Shampoo']</t>
  </si>
  <si>
    <t>Courtney Meyer</t>
  </si>
  <si>
    <t>['BBQ Sauce', 'Garden Hose', 'Hair Gel']</t>
  </si>
  <si>
    <t>John Burton</t>
  </si>
  <si>
    <t>['Vinegar', 'Soap']</t>
  </si>
  <si>
    <t>Janet Robinson</t>
  </si>
  <si>
    <t>['Toothpaste', 'Jam', 'Tissues']</t>
  </si>
  <si>
    <t>Mitchell Jackson</t>
  </si>
  <si>
    <t>['Mustard']</t>
  </si>
  <si>
    <t>Paula Gutierrez</t>
  </si>
  <si>
    <t>['Ice Cream', 'Ice Cream', 'Laundry Detergent']</t>
  </si>
  <si>
    <t>Rebecca Rice</t>
  </si>
  <si>
    <t>['Toothpaste', 'Paper Towels']</t>
  </si>
  <si>
    <t>Samantha Wallace</t>
  </si>
  <si>
    <t>['Carrots', 'Air Freshener', 'Butter', 'Cleaning Spray']</t>
  </si>
  <si>
    <t>Luke Hall</t>
  </si>
  <si>
    <t>['Bath Towels', 'Vinegar']</t>
  </si>
  <si>
    <t>Michael Gonzalez</t>
  </si>
  <si>
    <t>Tyler Smith</t>
  </si>
  <si>
    <t>['Shrimp', 'Chips']</t>
  </si>
  <si>
    <t>Terry Norman</t>
  </si>
  <si>
    <t>['Paper Towels', 'Cleaning Rags']</t>
  </si>
  <si>
    <t>Cody Cobb</t>
  </si>
  <si>
    <t>['Yogurt', 'Iron', 'Shaving Cream', 'Hand Sanitizer']</t>
  </si>
  <si>
    <t>Sierra Scott</t>
  </si>
  <si>
    <t>['Chicken', 'Paper Towels', 'Cleaning Rags', 'Razors', 'Power Strips']</t>
  </si>
  <si>
    <t>Emily Underwood</t>
  </si>
  <si>
    <t>['Air Freshener', 'Iron', 'Ice Cream', 'Ketchup']</t>
  </si>
  <si>
    <t>Arthur Myers</t>
  </si>
  <si>
    <t>['Shampoo', 'Beef']</t>
  </si>
  <si>
    <t>Nicole Cantrell</t>
  </si>
  <si>
    <t>['Paper Towels', 'Trash Cans', 'Dustpan', 'Syrup', 'Iron']</t>
  </si>
  <si>
    <t>John Martin</t>
  </si>
  <si>
    <t>['Shrimp', 'Feminine Hygiene Products', 'Toilet Paper', 'Water']</t>
  </si>
  <si>
    <t>Jerry Williams</t>
  </si>
  <si>
    <t>['Pasta', 'Shampoo']</t>
  </si>
  <si>
    <t>Jeffrey Brown</t>
  </si>
  <si>
    <t>['Garden Hose', 'Cheese', 'Bath Towels']</t>
  </si>
  <si>
    <t>Andrea Snyder</t>
  </si>
  <si>
    <t>['Honey', 'Yogurt', 'Potatoes', 'Apple', 'Onions']</t>
  </si>
  <si>
    <t>Nancy Jackson</t>
  </si>
  <si>
    <t>['Shower Gel', 'Onions']</t>
  </si>
  <si>
    <t>Olivia Jimenez</t>
  </si>
  <si>
    <t>['Peanut Butter', 'Diapers']</t>
  </si>
  <si>
    <t>Angel Garcia</t>
  </si>
  <si>
    <t>['Cereal Bars', 'Tomatoes']</t>
  </si>
  <si>
    <t>Amy Rodriguez</t>
  </si>
  <si>
    <t>['Sponges']</t>
  </si>
  <si>
    <t>Angela Clark</t>
  </si>
  <si>
    <t>['Chips', 'Shampoo', 'Trash Bags', 'Soap', 'Dishware']</t>
  </si>
  <si>
    <t>Kelly Thompson</t>
  </si>
  <si>
    <t>Ryan Melendez</t>
  </si>
  <si>
    <t>['Spinach', 'Feminine Hygiene Products', 'Onions', 'BBQ Sauce']</t>
  </si>
  <si>
    <t>Kimberly Cisneros</t>
  </si>
  <si>
    <t>['Paper Towels', 'Toothpaste']</t>
  </si>
  <si>
    <t>Cole Smith</t>
  </si>
  <si>
    <t>['Mustard', 'Chicken', 'Bread']</t>
  </si>
  <si>
    <t>Craig Smith</t>
  </si>
  <si>
    <t>['Pasta', 'Carrots', 'Power Strips', 'Shrimp']</t>
  </si>
  <si>
    <t>Rodney Randolph</t>
  </si>
  <si>
    <t>['Onions', 'Plant Fertilizer', 'Ice Cream', 'Tuna']</t>
  </si>
  <si>
    <t>Patrick Campbell</t>
  </si>
  <si>
    <t>['Paper Towels', 'Rice', 'Mayonnaise', 'Pickles', 'Mayonnaise']</t>
  </si>
  <si>
    <t>Emily Whitehead</t>
  </si>
  <si>
    <t>['Carrots', 'Orange', 'Paper Towels', 'Soap']</t>
  </si>
  <si>
    <t>Shawn Joyce</t>
  </si>
  <si>
    <t>['Shaving Cream', 'Dustpan', 'Rice', 'Orange', 'Honey']</t>
  </si>
  <si>
    <t>Ashley White</t>
  </si>
  <si>
    <t>['Coffee', 'Hair Gel', 'Vacuum Cleaner']</t>
  </si>
  <si>
    <t>Richard Harris</t>
  </si>
  <si>
    <t>['Pancake Mix', 'Water', 'Air Freshener', 'Tea']</t>
  </si>
  <si>
    <t>Matthew Bowen</t>
  </si>
  <si>
    <t>['Butter', 'Onions', 'Diapers']</t>
  </si>
  <si>
    <t>James Smith</t>
  </si>
  <si>
    <t>['Milk', 'Insect Repellent', 'BBQ Sauce', 'BBQ Sauce', 'Hair Gel']</t>
  </si>
  <si>
    <t>Julia Baldwin</t>
  </si>
  <si>
    <t>['Trash Bags', 'Cleaning Rags']</t>
  </si>
  <si>
    <t>Kathleen Cline</t>
  </si>
  <si>
    <t>['Butter', 'Ketchup']</t>
  </si>
  <si>
    <t>Ashley Jones</t>
  </si>
  <si>
    <t>['Ketchup']</t>
  </si>
  <si>
    <t>Matthew Hogan</t>
  </si>
  <si>
    <t>Kristin Hudson</t>
  </si>
  <si>
    <t>['Toothpaste']</t>
  </si>
  <si>
    <t>Terri Dunn</t>
  </si>
  <si>
    <t>['Banana', 'Feminine Hygiene Products']</t>
  </si>
  <si>
    <t>Jorge Keller</t>
  </si>
  <si>
    <t>['Vacuum Cleaner', 'Ironing Board', 'Olive Oil', 'Tea', 'Shrimp']</t>
  </si>
  <si>
    <t>Leslie Bell</t>
  </si>
  <si>
    <t>['Mayonnaise']</t>
  </si>
  <si>
    <t>Bradley Flynn</t>
  </si>
  <si>
    <t>['Shaving Cream', 'Power Strips', 'Laundry Detergent', 'Orange', 'Hand Sanitizer']</t>
  </si>
  <si>
    <t>Morgan Phillips</t>
  </si>
  <si>
    <t>['Rice', 'Ketchup']</t>
  </si>
  <si>
    <t>Victoria Duran</t>
  </si>
  <si>
    <t>['Broom']</t>
  </si>
  <si>
    <t>Bruce Smith</t>
  </si>
  <si>
    <t>['Onions', 'Salmon']</t>
  </si>
  <si>
    <t>Miss Jaime Roy MD</t>
  </si>
  <si>
    <t>['Potatoes', 'Pancake Mix', 'Peanut Butter', 'Jam']</t>
  </si>
  <si>
    <t>Paul Kline</t>
  </si>
  <si>
    <t>['Shower Gel', 'Peanut Butter', 'Baby Wipes', 'Hair Gel']</t>
  </si>
  <si>
    <t>Mary Ryan</t>
  </si>
  <si>
    <t>['Laundry Detergent', 'Hand Sanitizer']</t>
  </si>
  <si>
    <t>Charles Parrish</t>
  </si>
  <si>
    <t>['Light Bulbs', 'Plant Fertilizer', 'Bath Towels', 'Cleaning Rags']</t>
  </si>
  <si>
    <t>Victor Baker</t>
  </si>
  <si>
    <t>['Soap', 'Banana', 'Tea', 'Feminine Hygiene Products', 'Mustard']</t>
  </si>
  <si>
    <t>Mary Graham</t>
  </si>
  <si>
    <t>['Water', 'Toothbrush']</t>
  </si>
  <si>
    <t>Matthew Peterson</t>
  </si>
  <si>
    <t>['Cleaning Spray', 'Eggs', 'Olive Oil', 'Baby Wipes', 'Shrimp']</t>
  </si>
  <si>
    <t>Leslie Walsh</t>
  </si>
  <si>
    <t>['Deodorant', 'BBQ Sauce', 'Trash Cans']</t>
  </si>
  <si>
    <t>Gabriel Lucero</t>
  </si>
  <si>
    <t>Connor Moore</t>
  </si>
  <si>
    <t>['Syrup', 'Tomatoes']</t>
  </si>
  <si>
    <t>Amy Campbell</t>
  </si>
  <si>
    <t>['Shaving Cream', 'Laundry Detergent', 'BBQ Sauce', 'Air Freshener']</t>
  </si>
  <si>
    <t>Lee Ramirez</t>
  </si>
  <si>
    <t>['Shrimp', 'Orange', 'Tomatoes', 'Soda', 'Deodorant']</t>
  </si>
  <si>
    <t>Jaime Parker</t>
  </si>
  <si>
    <t>['Sponges', 'Chicken', 'Syrup', 'Cleaning Spray', 'Honey']</t>
  </si>
  <si>
    <t>James Bailey</t>
  </si>
  <si>
    <t>['Tomatoes', 'Laundry Detergent']</t>
  </si>
  <si>
    <t>Sara Lee</t>
  </si>
  <si>
    <t>['Shaving Cream', 'Mustard']</t>
  </si>
  <si>
    <t>Joanne Flores</t>
  </si>
  <si>
    <t>['Insect Repellent', 'Shaving Cream', 'Shampoo', 'Sponges']</t>
  </si>
  <si>
    <t>Kevin Cruz</t>
  </si>
  <si>
    <t>['Olive Oil', 'Dish Soap', 'Dish Soap']</t>
  </si>
  <si>
    <t>Dawn Benson</t>
  </si>
  <si>
    <t>['Milk', 'Tuna', 'Honey', 'Shower Gel']</t>
  </si>
  <si>
    <t>Ronald Pacheco</t>
  </si>
  <si>
    <t>['Extension Cords']</t>
  </si>
  <si>
    <t>Tracey Allen</t>
  </si>
  <si>
    <t>['Bread', 'Deodorant', 'Banana']</t>
  </si>
  <si>
    <t>Tamara Burke</t>
  </si>
  <si>
    <t>['Razors', 'Coffee', 'Vinegar', 'Chips', 'Chips']</t>
  </si>
  <si>
    <t>Cheryl Benson</t>
  </si>
  <si>
    <t>['Cleaning Rags', 'Pickles', 'Shaving Cream', 'Mustard']</t>
  </si>
  <si>
    <t>Taylor Jimenez</t>
  </si>
  <si>
    <t>['Cereal Bars']</t>
  </si>
  <si>
    <t>Brenda Greene</t>
  </si>
  <si>
    <t>['Trash Bags', 'Trash Bags', 'Pickles']</t>
  </si>
  <si>
    <t>Mark Johnson</t>
  </si>
  <si>
    <t>Kenneth Williams</t>
  </si>
  <si>
    <t>['Milk', 'Hair Gel']</t>
  </si>
  <si>
    <t>Nicholas Ellison</t>
  </si>
  <si>
    <t>['Toothpaste', 'Soda', 'Toothbrush']</t>
  </si>
  <si>
    <t>Felicia Johnson</t>
  </si>
  <si>
    <t>['Trash Cans', 'Razors']</t>
  </si>
  <si>
    <t>Kelly Adams</t>
  </si>
  <si>
    <t>Richard Hopkins</t>
  </si>
  <si>
    <t>['Lawn Mower']</t>
  </si>
  <si>
    <t>Brenda Brown</t>
  </si>
  <si>
    <t>David Henry</t>
  </si>
  <si>
    <t>['Insect Repellent', 'Dishware', 'Apple']</t>
  </si>
  <si>
    <t>Catherine Rodriguez</t>
  </si>
  <si>
    <t>['Soap', 'Dish Soap', 'Chips', 'Tea']</t>
  </si>
  <si>
    <t>Sean Obrien</t>
  </si>
  <si>
    <t>['Garden Hose', 'Milk', 'Lawn Mower']</t>
  </si>
  <si>
    <t>Scott Byrd</t>
  </si>
  <si>
    <t>['Light Bulbs', 'Honey', 'Bath Towels', 'Cereal Bars', 'Rice']</t>
  </si>
  <si>
    <t>Sheila Carroll</t>
  </si>
  <si>
    <t>['Plant Fertilizer', 'Vacuum Cleaner']</t>
  </si>
  <si>
    <t>Jason Rodriguez</t>
  </si>
  <si>
    <t>['Insect Repellent', 'Hand Sanitizer', 'Honey', 'Dish Soap', 'Pickles']</t>
  </si>
  <si>
    <t>Edward Anderson</t>
  </si>
  <si>
    <t>['Cleaning Spray', 'Cereal Bars']</t>
  </si>
  <si>
    <t>Benjamin Barber</t>
  </si>
  <si>
    <t>['Mayonnaise', 'Tissues', 'Potatoes', 'Salmon']</t>
  </si>
  <si>
    <t>Lisa Evans</t>
  </si>
  <si>
    <t>['Milk', 'Banana']</t>
  </si>
  <si>
    <t>Tracey Jackson</t>
  </si>
  <si>
    <t>['Syrup', 'Spinach', 'Ironing Board']</t>
  </si>
  <si>
    <t>Taylor Daniels</t>
  </si>
  <si>
    <t>['Sponges', 'Shrimp', 'Soda']</t>
  </si>
  <si>
    <t>Dwayne Herrera</t>
  </si>
  <si>
    <t>['Eggs', 'Paper Towels']</t>
  </si>
  <si>
    <t>Stephanie Robinson</t>
  </si>
  <si>
    <t>['Toothpaste', 'Bath Towels', 'Carrots']</t>
  </si>
  <si>
    <t>Caleb Bailey</t>
  </si>
  <si>
    <t>['Insect Repellent', 'Power Strips', 'Toothbrush', 'Yogurt']</t>
  </si>
  <si>
    <t>Eric Moore DDS</t>
  </si>
  <si>
    <t>['Pancake Mix', 'Mop']</t>
  </si>
  <si>
    <t>Barbara Griffin</t>
  </si>
  <si>
    <t>['Hand Sanitizer', 'Mustard', 'Toilet Paper', 'Water']</t>
  </si>
  <si>
    <t>Jennifer Harrington DDS</t>
  </si>
  <si>
    <t>['Syrup']</t>
  </si>
  <si>
    <t>Bryce Smith</t>
  </si>
  <si>
    <t>['Shaving Cream', 'Jam']</t>
  </si>
  <si>
    <t>Suzanne Silva</t>
  </si>
  <si>
    <t>['Ketchup', 'Hand Sanitizer', 'Orange', 'Vacuum Cleaner']</t>
  </si>
  <si>
    <t>David Prince</t>
  </si>
  <si>
    <t>['Dishware', 'Soap']</t>
  </si>
  <si>
    <t>Dawn Alvarado</t>
  </si>
  <si>
    <t>['Ice Cream', 'Cereal', 'Feminine Hygiene Products', 'Ice Cream', 'Coffee']</t>
  </si>
  <si>
    <t>Susan Lee</t>
  </si>
  <si>
    <t>['Pasta', 'Toilet Paper', 'Chips', 'Light Bulbs', 'Toilet Paper']</t>
  </si>
  <si>
    <t>Pamela Adams</t>
  </si>
  <si>
    <t>['Pancake Mix', 'Cereal']</t>
  </si>
  <si>
    <t>Jessica Shaffer</t>
  </si>
  <si>
    <t>['Cereal Bars', 'Cleaning Rags', 'Chips', 'Hand Sanitizer', 'Deodorant']</t>
  </si>
  <si>
    <t>Mitchell Johnson</t>
  </si>
  <si>
    <t>['Peanut Butter', 'Vacuum Cleaner', 'Milk']</t>
  </si>
  <si>
    <t>Robert Ibarra</t>
  </si>
  <si>
    <t>['Shampoo', 'Tuna', 'Shaving Cream', 'Dustpan']</t>
  </si>
  <si>
    <t>Mr. Matthew Wang</t>
  </si>
  <si>
    <t>['Trash Bags', 'Vinegar', 'Banana', 'Pickles', 'Ketchup']</t>
  </si>
  <si>
    <t>Michele Davis</t>
  </si>
  <si>
    <t>['Mop', 'Soap']</t>
  </si>
  <si>
    <t>Karen Jones</t>
  </si>
  <si>
    <t>Kristi Sanchez</t>
  </si>
  <si>
    <t>James Aguilar</t>
  </si>
  <si>
    <t>['Cereal', 'Honey', 'Carrots', 'Cheese', 'Broom']</t>
  </si>
  <si>
    <t>Lawrence Allison</t>
  </si>
  <si>
    <t>['Chips', 'Cleaning Spray', 'Iron', 'Carrots', 'Shaving Cream']</t>
  </si>
  <si>
    <t>Benjamin Nguyen</t>
  </si>
  <si>
    <t>['Iron', 'Butter', 'Shower Gel', 'Broom']</t>
  </si>
  <si>
    <t>Gina Gomez</t>
  </si>
  <si>
    <t>['Milk', 'Extension Cords', 'Mayonnaise', 'Hand Sanitizer']</t>
  </si>
  <si>
    <t>Gerald Massey</t>
  </si>
  <si>
    <t>['Mop', 'Ketchup', 'Tomatoes', 'Spinach']</t>
  </si>
  <si>
    <t>William Willis</t>
  </si>
  <si>
    <t>Tracy Wu</t>
  </si>
  <si>
    <t>['Tea', 'Cereal', 'Honey', 'Cleaning Spray', 'Ketchup']</t>
  </si>
  <si>
    <t>Michael Wallace</t>
  </si>
  <si>
    <t>['Bath Towels', 'Beef', 'Tomatoes']</t>
  </si>
  <si>
    <t>Carolyn Harris</t>
  </si>
  <si>
    <t>['Shampoo', 'Tuna', 'Olive Oil', 'Peanut Butter', 'Carrots']</t>
  </si>
  <si>
    <t>['BBQ Sauce', 'Power Strips']</t>
  </si>
  <si>
    <t>Molly Hernandez</t>
  </si>
  <si>
    <t>['Paper Towels', 'Shrimp', 'Feminine Hygiene Products', 'Dishware']</t>
  </si>
  <si>
    <t>Ashley Knight</t>
  </si>
  <si>
    <t>['Beef', 'Hand Sanitizer', 'Mayonnaise', 'Rice']</t>
  </si>
  <si>
    <t>Jessica Crawford</t>
  </si>
  <si>
    <t>['Toothbrush', 'Hand Sanitizer']</t>
  </si>
  <si>
    <t>Yvette Bailey</t>
  </si>
  <si>
    <t>Mary Miller</t>
  </si>
  <si>
    <t>Ashley Turner</t>
  </si>
  <si>
    <t>['Banana', 'Canned Soup']</t>
  </si>
  <si>
    <t>Dustin Walker</t>
  </si>
  <si>
    <t>['Olive Oil', 'Diapers']</t>
  </si>
  <si>
    <t>Lynn Hopkins</t>
  </si>
  <si>
    <t>['Shrimp', 'Pancake Mix']</t>
  </si>
  <si>
    <t>Taylor Cole</t>
  </si>
  <si>
    <t>['Salmon', 'Plant Fertilizer', 'Cleaning Spray', 'Apple']</t>
  </si>
  <si>
    <t>Jeffrey Wilson</t>
  </si>
  <si>
    <t>['Shaving Cream']</t>
  </si>
  <si>
    <t>Christopher Nichols</t>
  </si>
  <si>
    <t>Jacob Washington</t>
  </si>
  <si>
    <t>['Laundry Detergent']</t>
  </si>
  <si>
    <t>Ann Gamble</t>
  </si>
  <si>
    <t>['Tuna', 'Chips', 'Chicken', 'Potatoes', 'Dustpan']</t>
  </si>
  <si>
    <t>Michael Ray</t>
  </si>
  <si>
    <t>Karen Meyer</t>
  </si>
  <si>
    <t>['Soap', 'Cheese', 'Eggs', 'Cleaning Spray', 'Ketchup']</t>
  </si>
  <si>
    <t>Candice Shelton</t>
  </si>
  <si>
    <t>Cindy Russell</t>
  </si>
  <si>
    <t>['Shampoo', 'Salmon', 'Soda']</t>
  </si>
  <si>
    <t>Taylor Brady</t>
  </si>
  <si>
    <t>['Vacuum Cleaner', 'Garden Hose', 'Tea']</t>
  </si>
  <si>
    <t>Paula Turner</t>
  </si>
  <si>
    <t>['Soap', 'Iron']</t>
  </si>
  <si>
    <t>Jasmine Vasquez</t>
  </si>
  <si>
    <t>Christopher Johnson</t>
  </si>
  <si>
    <t>['Dish Soap', 'Lawn Mower']</t>
  </si>
  <si>
    <t>Christopher Chandler</t>
  </si>
  <si>
    <t>['Bread', 'Mop', 'Ketchup', 'Chicken', 'Tuna']</t>
  </si>
  <si>
    <t>Susan Ball</t>
  </si>
  <si>
    <t>['Ketchup', 'Garden Hose']</t>
  </si>
  <si>
    <t>Bobby Warner</t>
  </si>
  <si>
    <t>['Light Bulbs']</t>
  </si>
  <si>
    <t>Victoria Jenkins</t>
  </si>
  <si>
    <t>['Beef', 'Yogurt', 'Garden Hose']</t>
  </si>
  <si>
    <t>Tyler Lara</t>
  </si>
  <si>
    <t>['Dustpan']</t>
  </si>
  <si>
    <t>Ronald Chandler</t>
  </si>
  <si>
    <t>['Trash Cans', 'Shampoo', 'Diapers', 'Diapers']</t>
  </si>
  <si>
    <t>Xavier Palmer</t>
  </si>
  <si>
    <t>['Onions', 'Vinegar', 'Cleaning Rags', 'Ketchup']</t>
  </si>
  <si>
    <t>Lance Sims</t>
  </si>
  <si>
    <t>['Mustard', 'Shrimp', 'Shampoo', 'Feminine Hygiene Products']</t>
  </si>
  <si>
    <t>Richard Dean</t>
  </si>
  <si>
    <t>['Deodorant', 'Paper Towels']</t>
  </si>
  <si>
    <t>Corey Scott</t>
  </si>
  <si>
    <t>Timothy Calderon</t>
  </si>
  <si>
    <t>['Shower Gel', 'Pickles', 'Salmon', 'Extension Cords', 'Lawn Mower']</t>
  </si>
  <si>
    <t>Richard Clark</t>
  </si>
  <si>
    <t>['Insect Repellent', 'Canned Soup', 'Ironing Board', 'Vinegar', 'Peanut Butter']</t>
  </si>
  <si>
    <t>Adrienne Long</t>
  </si>
  <si>
    <t>Tanya Murphy</t>
  </si>
  <si>
    <t>['Hand Sanitizer', 'Ice Cream', 'Tea']</t>
  </si>
  <si>
    <t>Traci Stevens</t>
  </si>
  <si>
    <t>['Mop', 'Shrimp', 'Shrimp', 'Cleaning Rags']</t>
  </si>
  <si>
    <t>Melissa Freeman</t>
  </si>
  <si>
    <t>['Olive Oil', 'Chips', 'Apple', 'Iron']</t>
  </si>
  <si>
    <t>Colleen Mata</t>
  </si>
  <si>
    <t>['Bath Towels']</t>
  </si>
  <si>
    <t>Justin Rodriguez</t>
  </si>
  <si>
    <t>['Ironing Board', 'Pasta']</t>
  </si>
  <si>
    <t>Daniel Thomas</t>
  </si>
  <si>
    <t>['Tuna']</t>
  </si>
  <si>
    <t>Susan Martin</t>
  </si>
  <si>
    <t>Monica Howard</t>
  </si>
  <si>
    <t>['Salmon', 'Tea', 'Yogurt']</t>
  </si>
  <si>
    <t>Lauren Perry</t>
  </si>
  <si>
    <t>['Mustard', 'Vinegar', 'Light Bulbs', 'Cleaning Spray']</t>
  </si>
  <si>
    <t>Cynthia Peters</t>
  </si>
  <si>
    <t>['Bread', 'Syrup', 'Laundry Detergent']</t>
  </si>
  <si>
    <t>Andrew Shelton</t>
  </si>
  <si>
    <t>Richard Page</t>
  </si>
  <si>
    <t>Gregory George</t>
  </si>
  <si>
    <t>['Hand Sanitizer', 'Honey', 'Hair Gel', 'Feminine Hygiene Products', 'Honey']</t>
  </si>
  <si>
    <t>Joe Price</t>
  </si>
  <si>
    <t>['Extension Cords', 'Milk', 'Razors', 'Lawn Mower', 'Milk']</t>
  </si>
  <si>
    <t>Marissa Cisneros</t>
  </si>
  <si>
    <t>['Cereal Bars', 'Vacuum Cleaner', 'Coffee', 'Onions', 'Cleaning Spray']</t>
  </si>
  <si>
    <t>Debbie Burns</t>
  </si>
  <si>
    <t>['Lawn Mower', 'Soda', 'Beef', 'Shampoo']</t>
  </si>
  <si>
    <t>William Cole</t>
  </si>
  <si>
    <t>['Toothpaste', 'Air Freshener', 'Toothpaste']</t>
  </si>
  <si>
    <t>David Gallagher</t>
  </si>
  <si>
    <t>['Plant Fertilizer', 'Hand Sanitizer', 'Potatoes', 'Shower Gel']</t>
  </si>
  <si>
    <t>Melissa Mullins</t>
  </si>
  <si>
    <t>['Mop', 'Shower Gel', 'Cheese']</t>
  </si>
  <si>
    <t>James Harris</t>
  </si>
  <si>
    <t>['Shampoo', 'Shampoo']</t>
  </si>
  <si>
    <t>Melinda Daniels</t>
  </si>
  <si>
    <t>['Pancake Mix', 'Toilet Paper', 'Paper Towels']</t>
  </si>
  <si>
    <t>Barbara Shepard</t>
  </si>
  <si>
    <t>['Olive Oil', 'Tea']</t>
  </si>
  <si>
    <t>Tyler Lambert</t>
  </si>
  <si>
    <t>['Beef', 'Onions']</t>
  </si>
  <si>
    <t>Amanda Sanchez</t>
  </si>
  <si>
    <t>['Beef', 'Olive Oil']</t>
  </si>
  <si>
    <t>Kelly Tucker</t>
  </si>
  <si>
    <t>Tiffany Wilson</t>
  </si>
  <si>
    <t>['Toothpaste', 'Vacuum Cleaner', 'Mayonnaise', 'Ketchup']</t>
  </si>
  <si>
    <t>Seth Johnson</t>
  </si>
  <si>
    <t>['Dustpan', 'Peanut Butter']</t>
  </si>
  <si>
    <t>Julie Perez</t>
  </si>
  <si>
    <t>['Mop', 'Toothpaste']</t>
  </si>
  <si>
    <t>Dustin Taylor</t>
  </si>
  <si>
    <t>['Honey', 'Chips', 'Pickles', 'Shampoo', 'Milk']</t>
  </si>
  <si>
    <t>Julia Ramirez</t>
  </si>
  <si>
    <t>Richard Benjamin</t>
  </si>
  <si>
    <t>['Honey', 'Mop', 'Spinach', 'Feminine Hygiene Products']</t>
  </si>
  <si>
    <t>Richard Hamilton</t>
  </si>
  <si>
    <t>['Ironing Board', 'Toothbrush', 'Toothpaste']</t>
  </si>
  <si>
    <t>Deborah Reid</t>
  </si>
  <si>
    <t>['Insect Repellent', 'Lawn Mower']</t>
  </si>
  <si>
    <t>Rachel Brown</t>
  </si>
  <si>
    <t>Brett Smith</t>
  </si>
  <si>
    <t>['Toilet Paper']</t>
  </si>
  <si>
    <t>Austin Hughes</t>
  </si>
  <si>
    <t>Mark Smith</t>
  </si>
  <si>
    <t>['Paper Towels', 'Onions', 'Water']</t>
  </si>
  <si>
    <t>Diana Giles</t>
  </si>
  <si>
    <t>['Potatoes', 'Yogurt', 'Toothpaste', 'Carrots']</t>
  </si>
  <si>
    <t>Cassandra Lloyd</t>
  </si>
  <si>
    <t>['Cheese', 'Cleaning Spray', 'Insect Repellent', 'Beef']</t>
  </si>
  <si>
    <t>Laura Phillips</t>
  </si>
  <si>
    <t>['Chicken', 'Toothpaste', 'Pickles', 'Laundry Detergent']</t>
  </si>
  <si>
    <t>Derrick Chen</t>
  </si>
  <si>
    <t>['Apple', 'Dustpan', 'Plant Fertilizer', 'Trash Bags', 'Trash Cans']</t>
  </si>
  <si>
    <t>Patricia Bernard</t>
  </si>
  <si>
    <t>['Tomatoes', 'Yogurt', 'Vinegar', 'Cheese']</t>
  </si>
  <si>
    <t>Rebecca Martinez</t>
  </si>
  <si>
    <t>['Shrimp', 'Peanut Butter', 'Vinegar', 'Beef', 'Hand Sanitizer']</t>
  </si>
  <si>
    <t>Victor Stein</t>
  </si>
  <si>
    <t>['Hair Gel', 'Dish Soap', 'Rice', 'Salmon']</t>
  </si>
  <si>
    <t>Thomas Mason</t>
  </si>
  <si>
    <t>['Shaving Cream', 'Spinach', 'Deodorant']</t>
  </si>
  <si>
    <t>Carla Thomas</t>
  </si>
  <si>
    <t>['Toothbrush', 'Plant Fertilizer']</t>
  </si>
  <si>
    <t>Bradley Smith</t>
  </si>
  <si>
    <t>Joshua Chase</t>
  </si>
  <si>
    <t>['Sponges', 'Air Freshener', 'Banana', 'Feminine Hygiene Products', 'Shaving Cream']</t>
  </si>
  <si>
    <t>Cheryl Olsen</t>
  </si>
  <si>
    <t>['Cleaning Rags', 'Jam', 'Cheese', 'Carrots']</t>
  </si>
  <si>
    <t>Benjamin Cabrera</t>
  </si>
  <si>
    <t>['Tuna', 'Baby Wipes', 'Carrots']</t>
  </si>
  <si>
    <t>Joseph Nichols</t>
  </si>
  <si>
    <t>['Plant Fertilizer', 'Pickles', 'Olive Oil', 'Pancake Mix', 'Deodorant']</t>
  </si>
  <si>
    <t>Meghan Johnson</t>
  </si>
  <si>
    <t>['Razors', 'Extension Cords', 'Orange', 'Ice Cream', 'Pasta']</t>
  </si>
  <si>
    <t>Holly Mora</t>
  </si>
  <si>
    <t>['Bath Towels', 'Rice', 'Cleaning Rags']</t>
  </si>
  <si>
    <t>Michael Smith</t>
  </si>
  <si>
    <t>['Salmon']</t>
  </si>
  <si>
    <t>Paul York</t>
  </si>
  <si>
    <t>['Canned Soup', 'Cheese', 'Beef']</t>
  </si>
  <si>
    <t>Justin Garza</t>
  </si>
  <si>
    <t>James Jones</t>
  </si>
  <si>
    <t>['Potatoes', 'Toothbrush']</t>
  </si>
  <si>
    <t>Randall Davis</t>
  </si>
  <si>
    <t>['Shower Gel', 'Shampoo', 'Dishware']</t>
  </si>
  <si>
    <t>Julie Hopkins</t>
  </si>
  <si>
    <t>['Tea', 'Beef', 'Coffee']</t>
  </si>
  <si>
    <t>Zachary Compton</t>
  </si>
  <si>
    <t>['Olive Oil', 'Banana', 'Orange', 'Coffee']</t>
  </si>
  <si>
    <t>Michelle White</t>
  </si>
  <si>
    <t>['Bread', 'Bread', 'Trash Cans', 'Beef']</t>
  </si>
  <si>
    <t>Jennifer Owens</t>
  </si>
  <si>
    <t>James Howe MD</t>
  </si>
  <si>
    <t>['Rice']</t>
  </si>
  <si>
    <t>Kimberly Gomez</t>
  </si>
  <si>
    <t>['Toothpaste', 'Extension Cords', 'Lawn Mower', 'Yogurt']</t>
  </si>
  <si>
    <t>Kathy Ross</t>
  </si>
  <si>
    <t>['Trash Bags']</t>
  </si>
  <si>
    <t>Ariel Howell</t>
  </si>
  <si>
    <t>Lisa Smith</t>
  </si>
  <si>
    <t>['Tea', 'Garden Hose', 'Lawn Mower', 'Butter', 'Broom']</t>
  </si>
  <si>
    <t>Randy Nelson</t>
  </si>
  <si>
    <t>Joseph Miller</t>
  </si>
  <si>
    <t>Paul Hart</t>
  </si>
  <si>
    <t>['Pasta', 'Tissues', 'Canned Soup', 'Ice Cream']</t>
  </si>
  <si>
    <t>Megan Hardin</t>
  </si>
  <si>
    <t>['Ice Cream', 'Shower Gel', 'Toothpaste', 'Laundry Detergent', 'Vacuum Cleaner']</t>
  </si>
  <si>
    <t>Jennifer Lee</t>
  </si>
  <si>
    <t>['Shaving Cream', 'Mustard', 'Peanut Butter', 'Toothpaste', 'Toothbrush']</t>
  </si>
  <si>
    <t>Matthew Hall</t>
  </si>
  <si>
    <t>['BBQ Sauce']</t>
  </si>
  <si>
    <t>Thomas Green</t>
  </si>
  <si>
    <t>['Mustard', 'Bread', 'Chicken', 'Pickles', 'Bread']</t>
  </si>
  <si>
    <t>George Ruiz</t>
  </si>
  <si>
    <t>['BBQ Sauce', 'Syrup']</t>
  </si>
  <si>
    <t>Cameron Garner</t>
  </si>
  <si>
    <t>['Power Strips', 'Plant Fertilizer']</t>
  </si>
  <si>
    <t>Paul Clarke</t>
  </si>
  <si>
    <t>['Mustard', 'Bath Towels']</t>
  </si>
  <si>
    <t>William Randolph</t>
  </si>
  <si>
    <t>['Ironing Board']</t>
  </si>
  <si>
    <t>Kevin Morris</t>
  </si>
  <si>
    <t>['Dustpan', 'Soap', 'Banana', 'Shower Gel']</t>
  </si>
  <si>
    <t>Andrew Smith</t>
  </si>
  <si>
    <t>['Soda', 'Carrots', 'Water', 'Razors', 'Cleaning Rags']</t>
  </si>
  <si>
    <t>Whitney Mercado</t>
  </si>
  <si>
    <t>['Onions', 'Dishware', 'Hair Gel']</t>
  </si>
  <si>
    <t>Dennis Cruz</t>
  </si>
  <si>
    <t>['Hand Sanitizer', 'Razors']</t>
  </si>
  <si>
    <t>Kristina Mcguire</t>
  </si>
  <si>
    <t>['Apple', 'Water']</t>
  </si>
  <si>
    <t>Maria Ochoa</t>
  </si>
  <si>
    <t>Jeffrey Thomas</t>
  </si>
  <si>
    <t>['Baby Wipes', 'Razors', 'Feminine Hygiene Products']</t>
  </si>
  <si>
    <t>Melissa Wallace</t>
  </si>
  <si>
    <t>['Hand Sanitizer', 'Onions', 'Tissues', 'Yogurt']</t>
  </si>
  <si>
    <t>Dawn Barnes</t>
  </si>
  <si>
    <t>['Feminine Hygiene Products', 'Olive Oil']</t>
  </si>
  <si>
    <t>Mr. Jimmy Martin MD</t>
  </si>
  <si>
    <t>['Vacuum Cleaner', 'Trash Bags', 'Sponges']</t>
  </si>
  <si>
    <t>Brian Turner</t>
  </si>
  <si>
    <t>['Banana', 'Air Freshener']</t>
  </si>
  <si>
    <t>Hannah Moss</t>
  </si>
  <si>
    <t>['Soap', 'Shampoo', 'Pancake Mix']</t>
  </si>
  <si>
    <t>['Canned Soup', 'Chips', 'Dishware', 'Air Freshener']</t>
  </si>
  <si>
    <t>Joseph Barrett</t>
  </si>
  <si>
    <t>Robert Williams</t>
  </si>
  <si>
    <t>['Bread', 'Mayonnaise']</t>
  </si>
  <si>
    <t>Robin King</t>
  </si>
  <si>
    <t>['Eggs', 'Cheese']</t>
  </si>
  <si>
    <t>Michael Morris</t>
  </si>
  <si>
    <t>['Apple', 'Power Strips', 'Pickles']</t>
  </si>
  <si>
    <t>Mrs. Jessica Pennington</t>
  </si>
  <si>
    <t>['Cereal Bars', 'Rice']</t>
  </si>
  <si>
    <t>Brian Williams</t>
  </si>
  <si>
    <t>['Extension Cords', 'Soap', 'Toothpaste', 'Ice Cream']</t>
  </si>
  <si>
    <t>Tanya Jones</t>
  </si>
  <si>
    <t>['Deodorant', 'Bath Towels', 'Shaving Cream', 'Feminine Hygiene Products', 'Water']</t>
  </si>
  <si>
    <t>Greg Chandler</t>
  </si>
  <si>
    <t>['Tuna', 'Banana', 'Cleaning Rags', 'Hand Sanitizer']</t>
  </si>
  <si>
    <t>Yvonne Garcia</t>
  </si>
  <si>
    <t>Tyler Clark</t>
  </si>
  <si>
    <t>['Eggs', 'Dustpan', 'Soda']</t>
  </si>
  <si>
    <t>Carla Arias</t>
  </si>
  <si>
    <t>['Trash Cans', 'Chips']</t>
  </si>
  <si>
    <t>Matthew Taylor</t>
  </si>
  <si>
    <t>['Insect Repellent', 'Vacuum Cleaner', 'Extension Cords', 'Canned Soup', 'Air Freshener']</t>
  </si>
  <si>
    <t>Angela Higgins</t>
  </si>
  <si>
    <t>['Vacuum Cleaner', 'Iron', 'Shampoo']</t>
  </si>
  <si>
    <t>Erin Giles</t>
  </si>
  <si>
    <t>['Salmon', 'Ironing Board', 'Hand Sanitizer', 'Milk']</t>
  </si>
  <si>
    <t>Michael Huffman</t>
  </si>
  <si>
    <t>Paul Walls</t>
  </si>
  <si>
    <t>['Hair Gel', 'Tuna', 'Banana']</t>
  </si>
  <si>
    <t>James Henderson</t>
  </si>
  <si>
    <t>['Bread', 'Spinach', 'Trash Bags']</t>
  </si>
  <si>
    <t>Melanie Page</t>
  </si>
  <si>
    <t>['Baby Wipes', 'Cleaning Rags', 'Toothbrush']</t>
  </si>
  <si>
    <t>Kenneth Cowan</t>
  </si>
  <si>
    <t>Crystal Lewis</t>
  </si>
  <si>
    <t>['Soap', 'Tuna', 'Broom', 'Mop']</t>
  </si>
  <si>
    <t>Peter Berg</t>
  </si>
  <si>
    <t>['Laundry Detergent', 'Pasta']</t>
  </si>
  <si>
    <t>Deborah Richardson</t>
  </si>
  <si>
    <t>['Tuna', 'Hand Sanitizer']</t>
  </si>
  <si>
    <t>Diane Ford</t>
  </si>
  <si>
    <t>['Pasta', 'Cleaning Rags']</t>
  </si>
  <si>
    <t>Stephanie Brown</t>
  </si>
  <si>
    <t>['Soda', 'Orange']</t>
  </si>
  <si>
    <t>Wesley Santos</t>
  </si>
  <si>
    <t>['Diapers', 'Laundry Detergent']</t>
  </si>
  <si>
    <t>Erik Butler</t>
  </si>
  <si>
    <t>['Feminine Hygiene Products', 'Toothpaste', 'Dustpan', 'Razors']</t>
  </si>
  <si>
    <t>Andrea Weeks</t>
  </si>
  <si>
    <t>['Carrots', 'Baby Wipes', 'Dustpan', 'Canned Soup']</t>
  </si>
  <si>
    <t>Christopher Small</t>
  </si>
  <si>
    <t>['Light Bulbs', 'Coffee']</t>
  </si>
  <si>
    <t>Hannah Baird</t>
  </si>
  <si>
    <t>['Tissues', 'Dish Soap', 'Water', 'Tissues', 'Chips']</t>
  </si>
  <si>
    <t>Rebecca Velazquez</t>
  </si>
  <si>
    <t>Crystal Jones</t>
  </si>
  <si>
    <t>Bradley Lawrence</t>
  </si>
  <si>
    <t>['Chicken']</t>
  </si>
  <si>
    <t>Heather Hogan</t>
  </si>
  <si>
    <t>['Rice', 'Extension Cords', 'Bread']</t>
  </si>
  <si>
    <t>Joseph Marquez</t>
  </si>
  <si>
    <t>['Cleaning Spray', 'Water', 'Butter', 'Baby Wipes', 'Soap']</t>
  </si>
  <si>
    <t>Tyler Nelson</t>
  </si>
  <si>
    <t>['Peanut Butter', 'Trash Cans', 'Banana']</t>
  </si>
  <si>
    <t>Todd Vaughn</t>
  </si>
  <si>
    <t>['Hand Sanitizer', 'Deodorant', 'Coffee']</t>
  </si>
  <si>
    <t>Jose Hale</t>
  </si>
  <si>
    <t>['Canned Soup', 'Water', 'Chips', 'Toothpaste', 'Banana']</t>
  </si>
  <si>
    <t>Collin Nash</t>
  </si>
  <si>
    <t>['BBQ Sauce', 'Chicken', 'Tuna']</t>
  </si>
  <si>
    <t>Jeff Fowler</t>
  </si>
  <si>
    <t>['Sponges', 'Yogurt']</t>
  </si>
  <si>
    <t>Benjamin Lee</t>
  </si>
  <si>
    <t>['Milk']</t>
  </si>
  <si>
    <t>Michael Padilla</t>
  </si>
  <si>
    <t>['Beef', 'Shower Gel']</t>
  </si>
  <si>
    <t>Stephanie Jackson</t>
  </si>
  <si>
    <t>Thomas Mcintyre</t>
  </si>
  <si>
    <t>['Toothbrush', 'Banana', 'Pancake Mix', 'Carrots', 'Pasta']</t>
  </si>
  <si>
    <t>Robert Davis</t>
  </si>
  <si>
    <t>['Power Strips', 'Shower Gel']</t>
  </si>
  <si>
    <t>Marc Decker</t>
  </si>
  <si>
    <t>['Mop', 'Shaving Cream']</t>
  </si>
  <si>
    <t>Shawn Morris</t>
  </si>
  <si>
    <t>Denise Vaughan</t>
  </si>
  <si>
    <t>['Honey', 'Chips']</t>
  </si>
  <si>
    <t>Sarah Harris</t>
  </si>
  <si>
    <t>['Cereal', 'Trash Bags', 'Iron', 'Shampoo']</t>
  </si>
  <si>
    <t>Brian Cole</t>
  </si>
  <si>
    <t>['Soap', 'Toothpaste']</t>
  </si>
  <si>
    <t>Scott Jenkins</t>
  </si>
  <si>
    <t>['Iron', 'Light Bulbs', 'Pancake Mix', 'Yogurt', 'Tissues']</t>
  </si>
  <si>
    <t>John Goodwin</t>
  </si>
  <si>
    <t>Ashley Ortiz</t>
  </si>
  <si>
    <t>['Cereal Bars', 'Mayonnaise', 'Mayonnaise', 'Banana']</t>
  </si>
  <si>
    <t>Cynthia Harper</t>
  </si>
  <si>
    <t>['Trash Cans', 'Toothpaste']</t>
  </si>
  <si>
    <t>John Taylor DDS</t>
  </si>
  <si>
    <t>['Light Bulbs', 'Jam']</t>
  </si>
  <si>
    <t>Jennifer West</t>
  </si>
  <si>
    <t>['Ketchup', 'Olive Oil', 'Lawn Mower']</t>
  </si>
  <si>
    <t>Toni Sanchez</t>
  </si>
  <si>
    <t>['Feminine Hygiene Products', 'Deodorant']</t>
  </si>
  <si>
    <t>Ronald Mills</t>
  </si>
  <si>
    <t>['Feminine Hygiene Products', 'Plant Fertilizer', 'Spinach', 'Cleaning Spray']</t>
  </si>
  <si>
    <t>Kevin Underwood</t>
  </si>
  <si>
    <t>['Dustpan', 'Razors', 'Mop']</t>
  </si>
  <si>
    <t>Jason Acosta</t>
  </si>
  <si>
    <t>['Olive Oil', 'Lawn Mower', 'Toothpaste']</t>
  </si>
  <si>
    <t>Tracy Downs</t>
  </si>
  <si>
    <t>['Mustard', 'Cleaning Rags', 'Iron', 'Toothbrush', 'Hand Sanitizer']</t>
  </si>
  <si>
    <t>Tracy Kerr</t>
  </si>
  <si>
    <t>['Baby Wipes', 'Insect Repellent']</t>
  </si>
  <si>
    <t>Michelle Moreno</t>
  </si>
  <si>
    <t>['Shaving Cream', 'Air Freshener', 'Mop', 'Butter', 'Chips']</t>
  </si>
  <si>
    <t>Douglas Schultz Jr.</t>
  </si>
  <si>
    <t>['Pasta', 'Orange', 'Extension Cords']</t>
  </si>
  <si>
    <t>Travis Brooks</t>
  </si>
  <si>
    <t>['Pickles']</t>
  </si>
  <si>
    <t>Ashley Schultz</t>
  </si>
  <si>
    <t>James Hubbard</t>
  </si>
  <si>
    <t>['Pasta', 'Ketchup', 'Bread', 'Butter', 'Soda']</t>
  </si>
  <si>
    <t>Barbara Mendez MD</t>
  </si>
  <si>
    <t>['Pasta', 'Carrots', 'Butter']</t>
  </si>
  <si>
    <t>Jonathan Spears</t>
  </si>
  <si>
    <t>['Toothpaste', 'Mustard', 'Dishware', 'Cereal Bars']</t>
  </si>
  <si>
    <t>Tiffany Clark</t>
  </si>
  <si>
    <t>['Mop', 'Honey', 'Iron', 'Diapers']</t>
  </si>
  <si>
    <t>Michelle Acosta</t>
  </si>
  <si>
    <t>['Carrots']</t>
  </si>
  <si>
    <t>Erica Morales</t>
  </si>
  <si>
    <t>['Ironing Board', 'Feminine Hygiene Products', 'Bath Towels', 'Jam']</t>
  </si>
  <si>
    <t>Heather Peterson</t>
  </si>
  <si>
    <t>['Cereal Bars', 'Tomatoes', 'Toothpaste', 'Honey', 'Shampoo']</t>
  </si>
  <si>
    <t>Terri May</t>
  </si>
  <si>
    <t>['Ketchup', 'Tea']</t>
  </si>
  <si>
    <t>Lisa Cooper</t>
  </si>
  <si>
    <t>['Mayonnaise', 'Toothpaste', 'Vinegar']</t>
  </si>
  <si>
    <t>Amanda Nelson</t>
  </si>
  <si>
    <t>['Onions', 'Shaving Cream', 'Potatoes', 'Shower Gel']</t>
  </si>
  <si>
    <t>Matthew Ruiz</t>
  </si>
  <si>
    <t>['Cereal', 'Plant Fertilizer', 'Vinegar']</t>
  </si>
  <si>
    <t>Kimberly Gallegos</t>
  </si>
  <si>
    <t>['Canned Soup', 'Diapers']</t>
  </si>
  <si>
    <t>Brittany Griffin</t>
  </si>
  <si>
    <t>['Garden Hose', 'Diapers', 'Banana', 'Shaving Cream', 'Cereal Bars']</t>
  </si>
  <si>
    <t>Bryan Sanford</t>
  </si>
  <si>
    <t>['Hand Sanitizer', 'Eggs', 'Beef', 'Shower Gel', 'Cereal']</t>
  </si>
  <si>
    <t>Robert Robertson</t>
  </si>
  <si>
    <t>['Shrimp', 'Cereal']</t>
  </si>
  <si>
    <t>Kristin Murray</t>
  </si>
  <si>
    <t>['Plant Fertilizer', 'Dish Soap']</t>
  </si>
  <si>
    <t>Kimberly Torres</t>
  </si>
  <si>
    <t>['Coffee', 'Cleaning Spray', 'Cereal']</t>
  </si>
  <si>
    <t>Dr. Shawn Gonzalez</t>
  </si>
  <si>
    <t>['Soda', 'Trash Bags', 'Orange']</t>
  </si>
  <si>
    <t>Jonathan Waller</t>
  </si>
  <si>
    <t>['Water', 'Ironing Board']</t>
  </si>
  <si>
    <t>Valerie Wilson</t>
  </si>
  <si>
    <t>['Butter', 'Butter']</t>
  </si>
  <si>
    <t>David Shelton</t>
  </si>
  <si>
    <t>['Paper Towels', 'Jam']</t>
  </si>
  <si>
    <t>Jody Martin</t>
  </si>
  <si>
    <t>['Ice Cream']</t>
  </si>
  <si>
    <t>Brooke Larson</t>
  </si>
  <si>
    <t>['Power Strips', 'Trash Bags', 'Cereal Bars']</t>
  </si>
  <si>
    <t>Kristin Saunders</t>
  </si>
  <si>
    <t>['Shower Gel', 'Baby Wipes']</t>
  </si>
  <si>
    <t>Jacob Kennedy</t>
  </si>
  <si>
    <t>['Bath Towels', 'Iron', 'Pickles']</t>
  </si>
  <si>
    <t>Tracy Pham</t>
  </si>
  <si>
    <t>['Pasta', 'Light Bulbs']</t>
  </si>
  <si>
    <t>Vickie Callahan</t>
  </si>
  <si>
    <t>['Bath Towels', 'Diapers', 'Laundry Detergent']</t>
  </si>
  <si>
    <t>Natalie Armstrong</t>
  </si>
  <si>
    <t>['Vacuum Cleaner']</t>
  </si>
  <si>
    <t>Angelica Davis</t>
  </si>
  <si>
    <t>['Hand Sanitizer', 'Bath Towels', 'Carrots', 'Toothpaste', 'Potatoes']</t>
  </si>
  <si>
    <t>Christian Davidson</t>
  </si>
  <si>
    <t>['Spinach', 'Coffee', 'Toothpaste']</t>
  </si>
  <si>
    <t>Seth Woodward</t>
  </si>
  <si>
    <t>['Vinegar', 'Salmon', 'Tuna', 'Tomatoes']</t>
  </si>
  <si>
    <t>Jordan Kennedy</t>
  </si>
  <si>
    <t>['Soda', 'Shaving Cream', 'Diapers', 'Mop', 'Syrup']</t>
  </si>
  <si>
    <t>Jennifer Williams</t>
  </si>
  <si>
    <t>['Cereal Bars', 'Sponges', 'Peanut Butter', 'Carrots', 'Dish Soap']</t>
  </si>
  <si>
    <t>Brenda Martinez</t>
  </si>
  <si>
    <t>['Insect Repellent', 'Syrup']</t>
  </si>
  <si>
    <t>Lori Kane</t>
  </si>
  <si>
    <t>['BBQ Sauce', 'Tissues']</t>
  </si>
  <si>
    <t>Joseph Chavez</t>
  </si>
  <si>
    <t>Tonya Villarreal</t>
  </si>
  <si>
    <t>['Pancake Mix', 'Soap', 'Salmon', 'Cereal Bars', 'Bread']</t>
  </si>
  <si>
    <t>Anthony Hawkins</t>
  </si>
  <si>
    <t>['Toothbrush', 'Carrots', 'Chicken', 'Razors']</t>
  </si>
  <si>
    <t>Alyssa Ramos</t>
  </si>
  <si>
    <t>['Shampoo', 'Insect Repellent', 'Lawn Mower', 'Vinegar', 'Hand Sanitizer']</t>
  </si>
  <si>
    <t>Jason Lee</t>
  </si>
  <si>
    <t>Alicia Mercer</t>
  </si>
  <si>
    <t>['Jam', 'Tea']</t>
  </si>
  <si>
    <t>Aaron Reed</t>
  </si>
  <si>
    <t>['Chips', 'Pickles', 'Peanut Butter', 'Mayonnaise']</t>
  </si>
  <si>
    <t>Garrett Miles</t>
  </si>
  <si>
    <t>['Air Freshener', 'Onions', 'Carrots', 'Yogurt', 'Hand Sanitizer']</t>
  </si>
  <si>
    <t>Christopher Clark</t>
  </si>
  <si>
    <t>['Toilet Paper', 'Hair Gel', 'Cereal', 'Power Strips', 'Peanut Butter']</t>
  </si>
  <si>
    <t>Andrew Newman</t>
  </si>
  <si>
    <t>['Plant Fertilizer', 'Iron', 'Orange', 'Tuna', 'Salmon']</t>
  </si>
  <si>
    <t>Dana Miller</t>
  </si>
  <si>
    <t>['Shower Gel', 'Canned Soup', 'Deodorant']</t>
  </si>
  <si>
    <t>Adam Rubio</t>
  </si>
  <si>
    <t>['Vinegar', 'Shrimp']</t>
  </si>
  <si>
    <t>Samantha Poole</t>
  </si>
  <si>
    <t>['Eggs', 'Vacuum Cleaner', 'Chips']</t>
  </si>
  <si>
    <t>Margaret Velez</t>
  </si>
  <si>
    <t>['Hand Sanitizer', 'Toothpaste']</t>
  </si>
  <si>
    <t>Christian Tate</t>
  </si>
  <si>
    <t>['Chicken', 'Milk', 'Plant Fertilizer', 'Soap', 'Beef']</t>
  </si>
  <si>
    <t>Matthew Wood</t>
  </si>
  <si>
    <t>['Olive Oil', 'Vinegar', 'Cereal', 'Coffee', 'Hair Gel']</t>
  </si>
  <si>
    <t>Andrea Cruz</t>
  </si>
  <si>
    <t>['Tea', 'Mop']</t>
  </si>
  <si>
    <t>Dawn Dawson</t>
  </si>
  <si>
    <t>['Paper Towels', 'Soda']</t>
  </si>
  <si>
    <t>John Dickerson MD</t>
  </si>
  <si>
    <t>['Lawn Mower', 'Paper Towels', 'Diapers']</t>
  </si>
  <si>
    <t>Ryan Stewart</t>
  </si>
  <si>
    <t>['Tomatoes', 'Shrimp', 'Toilet Paper', 'Dustpan']</t>
  </si>
  <si>
    <t>Benjamin Benson</t>
  </si>
  <si>
    <t>['Honey', 'Salmon', 'Power Strips']</t>
  </si>
  <si>
    <t>Karen Bond</t>
  </si>
  <si>
    <t>['Vinegar', 'Power Strips', 'Feminine Hygiene Products', 'Honey']</t>
  </si>
  <si>
    <t>Karen Hernandez</t>
  </si>
  <si>
    <t>['Garden Hose', 'Peanut Butter', 'Eggs', 'Shaving Cream', 'Ice Cream']</t>
  </si>
  <si>
    <t>Carolyn Owens</t>
  </si>
  <si>
    <t>['Broom', 'Rice', 'Carrots']</t>
  </si>
  <si>
    <t>Gregory Baker</t>
  </si>
  <si>
    <t>['Syrup', 'Baby Wipes', 'Paper Towels']</t>
  </si>
  <si>
    <t>Elizabeth Wagner</t>
  </si>
  <si>
    <t>['Mayonnaise', 'Olive Oil', 'Cleaning Rags', 'Lawn Mower', 'Trash Bags']</t>
  </si>
  <si>
    <t>Eric Smith</t>
  </si>
  <si>
    <t>['Salmon', 'Trash Cans']</t>
  </si>
  <si>
    <t>Rodney Mcgee</t>
  </si>
  <si>
    <t>['Tissues', 'Potatoes', 'Yogurt', 'Beef', 'Hand Sanitizer']</t>
  </si>
  <si>
    <t>Nicole Gaines</t>
  </si>
  <si>
    <t>['Spinach', 'Cheese', 'Tissues', 'Cheese']</t>
  </si>
  <si>
    <t>Sandra Marshall</t>
  </si>
  <si>
    <t>['Broom', 'Mustard', 'Garden Hose', 'Honey']</t>
  </si>
  <si>
    <t>Kimberly Anderson</t>
  </si>
  <si>
    <t>Jennifer Garcia</t>
  </si>
  <si>
    <t>Rachel Garcia</t>
  </si>
  <si>
    <t>Kathryn White</t>
  </si>
  <si>
    <t>['Mop', 'Tuna', 'Honey', 'Water', 'Vacuum Cleaner']</t>
  </si>
  <si>
    <t>Christina Perez</t>
  </si>
  <si>
    <t>['Pancake Mix', 'Soda', 'Deodorant', 'Air Freshener', 'Tomatoes']</t>
  </si>
  <si>
    <t>Mark Morales</t>
  </si>
  <si>
    <t>['Feminine Hygiene Products', 'Cleaning Spray']</t>
  </si>
  <si>
    <t>Vickie Brooks</t>
  </si>
  <si>
    <t>['Water', 'Ice Cream']</t>
  </si>
  <si>
    <t>David Montoya</t>
  </si>
  <si>
    <t>['Chips', 'Ketchup', 'Carrots']</t>
  </si>
  <si>
    <t>Logan Adams</t>
  </si>
  <si>
    <t>['Baby Wipes', 'Canned Soup']</t>
  </si>
  <si>
    <t>Nicole Jones</t>
  </si>
  <si>
    <t>['Toothbrush', 'Toilet Paper', 'Cheese']</t>
  </si>
  <si>
    <t>Steven Robinson</t>
  </si>
  <si>
    <t>['Plant Fertilizer', 'Pickles', 'Honey', 'Bread', 'Spinach']</t>
  </si>
  <si>
    <t>Maureen Pace</t>
  </si>
  <si>
    <t>['Toilet Paper', 'Vacuum Cleaner', 'Coffee']</t>
  </si>
  <si>
    <t>Kristopher Cook</t>
  </si>
  <si>
    <t>Donald Harris</t>
  </si>
  <si>
    <t>['Vacuum Cleaner', 'Beef', 'Garden Hose']</t>
  </si>
  <si>
    <t>Rachael Sanford</t>
  </si>
  <si>
    <t>['Ironing Board', 'Rice', 'Chicken', 'Chicken']</t>
  </si>
  <si>
    <t>Jordan Spencer</t>
  </si>
  <si>
    <t>['Chicken', 'Power Strips', 'Vinegar']</t>
  </si>
  <si>
    <t>Joseph Payne</t>
  </si>
  <si>
    <t>Jeffrey May</t>
  </si>
  <si>
    <t>['Mustard', 'Plant Fertilizer']</t>
  </si>
  <si>
    <t>Catherine Dalton</t>
  </si>
  <si>
    <t>['Lawn Mower', 'Water', 'Trash Bags', 'Plant Fertilizer', 'Trash Cans']</t>
  </si>
  <si>
    <t>Christopher Smith</t>
  </si>
  <si>
    <t>['Cereal Bars', 'Cleaning Spray', 'Toothpaste']</t>
  </si>
  <si>
    <t>Cheryl Griffin</t>
  </si>
  <si>
    <t>['Insect Repellent', 'Cereal']</t>
  </si>
  <si>
    <t>Jerry Berg</t>
  </si>
  <si>
    <t>['Hair Gel', 'Spinach', 'Garden Hose', 'Ketchup', 'Canned Soup']</t>
  </si>
  <si>
    <t>Anthony Cervantes</t>
  </si>
  <si>
    <t>['Ketchup', 'Coffee', 'Milk', 'Coffee', 'Soda']</t>
  </si>
  <si>
    <t>Julia Ray</t>
  </si>
  <si>
    <t>['Vinegar', 'Vinegar', 'Ironing Board']</t>
  </si>
  <si>
    <t>Ashley Benton</t>
  </si>
  <si>
    <t>['Pancake Mix', 'Extension Cords']</t>
  </si>
  <si>
    <t>Jessica Lopez</t>
  </si>
  <si>
    <t>['Garden Hose', 'Toothpaste', 'Vacuum Cleaner', 'Baby Wipes']</t>
  </si>
  <si>
    <t>Ruth Garcia</t>
  </si>
  <si>
    <t>['Ironing Board', 'Mayonnaise', 'Garden Hose', 'BBQ Sauce']</t>
  </si>
  <si>
    <t>Jesse Floyd</t>
  </si>
  <si>
    <t>['Hand Sanitizer', 'Shower Gel']</t>
  </si>
  <si>
    <t>Mary Perez</t>
  </si>
  <si>
    <t>['Butter', 'Spinach']</t>
  </si>
  <si>
    <t>Douglas Gonzalez</t>
  </si>
  <si>
    <t>['Vacuum Cleaner', 'Pickles', 'Chicken']</t>
  </si>
  <si>
    <t>Sherri Graves</t>
  </si>
  <si>
    <t>['Tuna', 'Spinach', 'Cheese']</t>
  </si>
  <si>
    <t>David Marks</t>
  </si>
  <si>
    <t>['Rice', 'Tomatoes', 'Shower Gel', 'Toothpaste']</t>
  </si>
  <si>
    <t>Kevin Boone</t>
  </si>
  <si>
    <t>['Peanut Butter', 'Olive Oil', 'Paper Towels', 'Carrots', 'Vinegar']</t>
  </si>
  <si>
    <t>['Hair Gel', 'Chicken', 'Cleaning Spray', 'Cleaning Spray', 'Light Bulbs']</t>
  </si>
  <si>
    <t>Jerry Garrett</t>
  </si>
  <si>
    <t>['Spinach', 'Cereal']</t>
  </si>
  <si>
    <t>Kimberly Young</t>
  </si>
  <si>
    <t>['Eggs', 'Iron', 'Peanut Butter']</t>
  </si>
  <si>
    <t>Jenna Robinson</t>
  </si>
  <si>
    <t>Craig Hall</t>
  </si>
  <si>
    <t>Amanda Blevins</t>
  </si>
  <si>
    <t>['Laundry Detergent', 'Shampoo', 'Peanut Butter', 'Broom', 'Chips']</t>
  </si>
  <si>
    <t>Sarah Aguirre</t>
  </si>
  <si>
    <t>Richard Randolph</t>
  </si>
  <si>
    <t>['Cleaning Spray', 'BBQ Sauce', 'Toothbrush', 'Pickles', 'Milk']</t>
  </si>
  <si>
    <t>Luis Richmond</t>
  </si>
  <si>
    <t>['Vinegar', 'Water']</t>
  </si>
  <si>
    <t>Kim Campbell</t>
  </si>
  <si>
    <t>['Hand Sanitizer', 'Paper Towels', 'Toilet Paper', 'Shaving Cream']</t>
  </si>
  <si>
    <t>Jack Mitchell</t>
  </si>
  <si>
    <t>['Coffee', 'Potatoes', 'Air Freshener']</t>
  </si>
  <si>
    <t>Jose Knight</t>
  </si>
  <si>
    <t>Aaron Rasmussen</t>
  </si>
  <si>
    <t>['Shampoo', 'Razors', 'Orange', 'Pancake Mix']</t>
  </si>
  <si>
    <t>Tracy Morris</t>
  </si>
  <si>
    <t>['Pasta', 'Baby Wipes', 'Power Strips']</t>
  </si>
  <si>
    <t>Richard Conley</t>
  </si>
  <si>
    <t>['Chips', 'Feminine Hygiene Products', 'Pancake Mix']</t>
  </si>
  <si>
    <t>Juan Graham</t>
  </si>
  <si>
    <t>['Honey', 'Insect Repellent', 'Laundry Detergent']</t>
  </si>
  <si>
    <t>Timothy White</t>
  </si>
  <si>
    <t>Martin Foster</t>
  </si>
  <si>
    <t>Benjamin Weaver</t>
  </si>
  <si>
    <t>['Baby Wipes', 'Spinach', 'Plant Fertilizer', 'Ketchup', 'Soap']</t>
  </si>
  <si>
    <t>Christopher Cooper</t>
  </si>
  <si>
    <t>Christopher Baker</t>
  </si>
  <si>
    <t>['Shower Gel', 'Ice Cream', 'Pickles']</t>
  </si>
  <si>
    <t>Kevin Reid</t>
  </si>
  <si>
    <t>['Onions', 'Eggs']</t>
  </si>
  <si>
    <t>Fred Velez</t>
  </si>
  <si>
    <t>['Ironing Board', 'Chicken', 'Water']</t>
  </si>
  <si>
    <t>Matthew Moran</t>
  </si>
  <si>
    <t>Adam Rodriguez</t>
  </si>
  <si>
    <t>['Milk', 'Shrimp']</t>
  </si>
  <si>
    <t>Christian Hale</t>
  </si>
  <si>
    <t>['Pancake Mix', 'Laundry Detergent', 'Tomatoes']</t>
  </si>
  <si>
    <t>Jessica Carr</t>
  </si>
  <si>
    <t>['Dustpan', 'Butter']</t>
  </si>
  <si>
    <t>Angela Navarro</t>
  </si>
  <si>
    <t>['Carrots', 'Toothbrush', 'Toothpaste']</t>
  </si>
  <si>
    <t>Kiara Guerrero</t>
  </si>
  <si>
    <t>['Chips', 'Yogurt']</t>
  </si>
  <si>
    <t>Lori Ramirez</t>
  </si>
  <si>
    <t>Valerie Perry</t>
  </si>
  <si>
    <t>['Vinegar', 'Mop', 'Shrimp']</t>
  </si>
  <si>
    <t>Kelsey Moore</t>
  </si>
  <si>
    <t>['Milk', 'Lawn Mower', 'Water', 'Mustard']</t>
  </si>
  <si>
    <t>Travis Parker</t>
  </si>
  <si>
    <t>['Mop', 'Cleaning Spray', 'Onions', 'Dishware', 'Diapers']</t>
  </si>
  <si>
    <t>Christopher Horton</t>
  </si>
  <si>
    <t>['Honey', 'Toothbrush', 'Dish Soap', 'Jam', 'Shower Gel']</t>
  </si>
  <si>
    <t>Jason Brown</t>
  </si>
  <si>
    <t>['Canned Soup', 'Vinegar', 'Dustpan', 'Bath Towels']</t>
  </si>
  <si>
    <t>Courtney Sexton</t>
  </si>
  <si>
    <t>['BBQ Sauce', 'Light Bulbs', 'Toothpaste', 'Syrup', 'Laundry Detergent']</t>
  </si>
  <si>
    <t>Randy Valencia</t>
  </si>
  <si>
    <t>['Feminine Hygiene Products', 'Toothbrush', 'Apple', 'Canned Soup', 'Cereal Bars']</t>
  </si>
  <si>
    <t>Beverly Robinson</t>
  </si>
  <si>
    <t>['Hair Gel', 'Shower Gel', 'Hair Gel']</t>
  </si>
  <si>
    <t>Linda Thornton</t>
  </si>
  <si>
    <t>['Tissues', 'Cheese', 'Hand Sanitizer', 'BBQ Sauce']</t>
  </si>
  <si>
    <t>Scott Beck</t>
  </si>
  <si>
    <t>['Tea', 'Beef', 'Spinach', 'Vacuum Cleaner']</t>
  </si>
  <si>
    <t>David Schmidt</t>
  </si>
  <si>
    <t>['Iron', 'Cleaning Rags', 'Chicken', 'Air Freshener', 'Vinegar']</t>
  </si>
  <si>
    <t>James Mcdaniel</t>
  </si>
  <si>
    <t>Travis Bates</t>
  </si>
  <si>
    <t>['Plant Fertilizer', 'Baby Wipes']</t>
  </si>
  <si>
    <t>Patrick Lewis</t>
  </si>
  <si>
    <t>['Shower Gel', 'Rice']</t>
  </si>
  <si>
    <t>Michael Schaefer</t>
  </si>
  <si>
    <t>['Apple', 'Potatoes', 'Baby Wipes']</t>
  </si>
  <si>
    <t>Christopher Taylor</t>
  </si>
  <si>
    <t>['Dishware', 'Bread', 'Toothbrush']</t>
  </si>
  <si>
    <t>Guy Chan</t>
  </si>
  <si>
    <t>['Toothbrush', 'Water']</t>
  </si>
  <si>
    <t>Ryan Bishop</t>
  </si>
  <si>
    <t>['Sponges', 'Rice']</t>
  </si>
  <si>
    <t>Andrew Baker</t>
  </si>
  <si>
    <t>['Dish Soap', 'Salmon']</t>
  </si>
  <si>
    <t>Jared Norton</t>
  </si>
  <si>
    <t>Molly Wilson</t>
  </si>
  <si>
    <t>Lindsay Rogers</t>
  </si>
  <si>
    <t>['Cereal', 'Water', 'Chicken', 'Dustpan']</t>
  </si>
  <si>
    <t>Rita Williams</t>
  </si>
  <si>
    <t>['Pickles', 'Syrup', 'Hand Sanitizer', 'Hair Gel', 'Broom']</t>
  </si>
  <si>
    <t>Bobby French</t>
  </si>
  <si>
    <t>['Coffee', 'Shampoo', 'Pickles', 'Salmon']</t>
  </si>
  <si>
    <t>Elizabeth Ortega</t>
  </si>
  <si>
    <t>['Sponges', 'Cereal Bars', 'Olive Oil', 'Orange']</t>
  </si>
  <si>
    <t>Dr. Christina Kelly</t>
  </si>
  <si>
    <t>['Plant Fertilizer', 'Vacuum Cleaner', 'Chips', 'Hand Sanitizer', 'Soap']</t>
  </si>
  <si>
    <t>Cynthia Fuentes</t>
  </si>
  <si>
    <t>['Toothbrush']</t>
  </si>
  <si>
    <t>Christopher Fowler</t>
  </si>
  <si>
    <t>['Cheese', 'Spinach', 'Pancake Mix', 'Olive Oil', 'Peanut Butter']</t>
  </si>
  <si>
    <t>Toni Goodwin</t>
  </si>
  <si>
    <t>['Spinach', 'Light Bulbs', 'Plant Fertilizer', 'Vacuum Cleaner', 'Laundry Detergent']</t>
  </si>
  <si>
    <t>Katelyn Watts</t>
  </si>
  <si>
    <t>['Bread', 'Water']</t>
  </si>
  <si>
    <t>Daniel Stevens</t>
  </si>
  <si>
    <t>['Trash Cans', 'Trash Bags', 'Coffee']</t>
  </si>
  <si>
    <t>Steven Calhoun</t>
  </si>
  <si>
    <t>['Mayonnaise', 'Coffee']</t>
  </si>
  <si>
    <t>Jeffrey Alexander</t>
  </si>
  <si>
    <t>['Ketchup', 'Pickles', 'Broom', 'Syrup', 'Toothpaste']</t>
  </si>
  <si>
    <t>Paul Gonzalez</t>
  </si>
  <si>
    <t>['Vacuum Cleaner', 'Baby Wipes', 'Banana', 'Iron']</t>
  </si>
  <si>
    <t>James Lloyd</t>
  </si>
  <si>
    <t>Melanie Smith</t>
  </si>
  <si>
    <t>['BBQ Sauce', 'Feminine Hygiene Products', 'Paper Towels', 'Dish Soap', 'Sponges']</t>
  </si>
  <si>
    <t>Charlotte Johnson</t>
  </si>
  <si>
    <t>Heather Shannon</t>
  </si>
  <si>
    <t>['Olive Oil', 'Cereal', 'Bath Towels', 'Jam', 'Pasta']</t>
  </si>
  <si>
    <t>Angela Anderson</t>
  </si>
  <si>
    <t>['Chips']</t>
  </si>
  <si>
    <t>Frank Jackson</t>
  </si>
  <si>
    <t>['Vinegar', 'Broom', 'Hand Sanitizer']</t>
  </si>
  <si>
    <t>Lindsay Wells</t>
  </si>
  <si>
    <t>Andrew Key</t>
  </si>
  <si>
    <t>Joseph Newton</t>
  </si>
  <si>
    <t>['Sponges', 'Chips']</t>
  </si>
  <si>
    <t>Megan Bowers</t>
  </si>
  <si>
    <t>Ricky Powers</t>
  </si>
  <si>
    <t>['Dishware']</t>
  </si>
  <si>
    <t>Michael Murphy</t>
  </si>
  <si>
    <t>Meghan Nelson</t>
  </si>
  <si>
    <t>['Baby Wipes', 'Cleaning Rags', 'Carrots', 'Salmon', 'Power Strips']</t>
  </si>
  <si>
    <t>William Turner</t>
  </si>
  <si>
    <t>['Toothbrush', 'Sponges']</t>
  </si>
  <si>
    <t>Christopher Sutton</t>
  </si>
  <si>
    <t>['Power Strips', 'Cereal', 'Pickles', 'Potatoes']</t>
  </si>
  <si>
    <t>Steve Collins</t>
  </si>
  <si>
    <t>['Toothpaste', 'Light Bulbs']</t>
  </si>
  <si>
    <t>George Butler</t>
  </si>
  <si>
    <t>['Onions', 'Deodorant']</t>
  </si>
  <si>
    <t>Brittney Quinn</t>
  </si>
  <si>
    <t>['Honey', 'Razors']</t>
  </si>
  <si>
    <t>Margaret Swanson</t>
  </si>
  <si>
    <t>['BBQ Sauce', 'Toothpaste', 'Extension Cords']</t>
  </si>
  <si>
    <t>Mrs. Vanessa Williams MD</t>
  </si>
  <si>
    <t>['Cleaning Rags', 'Rice', 'Chicken']</t>
  </si>
  <si>
    <t>Michelle Cole</t>
  </si>
  <si>
    <t>['Air Freshener', 'Cleaning Rags', 'Olive Oil', 'Apple', 'Paper Towels']</t>
  </si>
  <si>
    <t>Nicholas Hunter</t>
  </si>
  <si>
    <t>['Paper Towels', 'Cereal', 'Yogurt']</t>
  </si>
  <si>
    <t>Rebecca Humphrey</t>
  </si>
  <si>
    <t>['Potatoes', 'Mop', 'Hair Gel', 'Trash Bags', 'Toothpaste']</t>
  </si>
  <si>
    <t>Tammy Fleming</t>
  </si>
  <si>
    <t>['Honey', 'Cereal Bars']</t>
  </si>
  <si>
    <t>Matthew Baker</t>
  </si>
  <si>
    <t>['Orange', 'Peanut Butter']</t>
  </si>
  <si>
    <t>Diana Kelly</t>
  </si>
  <si>
    <t>['Insect Repellent', 'Potatoes']</t>
  </si>
  <si>
    <t>Eric Jones</t>
  </si>
  <si>
    <t>['Water', 'Carrots', 'Sponges']</t>
  </si>
  <si>
    <t>Martin Dixon</t>
  </si>
  <si>
    <t>Thomas Livingston</t>
  </si>
  <si>
    <t>['Plant Fertilizer', 'Light Bulbs']</t>
  </si>
  <si>
    <t>Harold Thomas</t>
  </si>
  <si>
    <t>['Syrup', 'Ketchup', 'Carrots']</t>
  </si>
  <si>
    <t>Dr. Amy Wagner</t>
  </si>
  <si>
    <t>['Paper Towels', 'Water', 'Deodorant', 'Toothbrush', 'Eggs']</t>
  </si>
  <si>
    <t>Wendy Carr</t>
  </si>
  <si>
    <t>['Ironing Board', 'Banana']</t>
  </si>
  <si>
    <t>Lisa Washington</t>
  </si>
  <si>
    <t>['Mop', 'Shampoo', 'Plant Fertilizer', 'Cleaning Spray']</t>
  </si>
  <si>
    <t>Melissa Crawford</t>
  </si>
  <si>
    <t>['Dishware', 'Olive Oil', 'Baby Wipes', 'Ice Cream']</t>
  </si>
  <si>
    <t>Victoria Brown</t>
  </si>
  <si>
    <t>['Soap', 'Toilet Paper', 'Peanut Butter', 'Vinegar', 'Trash Cans']</t>
  </si>
  <si>
    <t>Mr. Charles Ward</t>
  </si>
  <si>
    <t>Terry Villegas</t>
  </si>
  <si>
    <t>['Dishware', 'Vinegar', 'Insect Repellent', 'Pancake Mix', 'Razors']</t>
  </si>
  <si>
    <t>Dr. Sherry Mcgrath MD</t>
  </si>
  <si>
    <t>Mr. Nathan Jones MD</t>
  </si>
  <si>
    <t>['Toothpaste', 'Honey']</t>
  </si>
  <si>
    <t>Marcus Beck</t>
  </si>
  <si>
    <t>['Rice', 'Pancake Mix', 'Apple']</t>
  </si>
  <si>
    <t>Holly White</t>
  </si>
  <si>
    <t>['Pancake Mix']</t>
  </si>
  <si>
    <t>Amy Thomas</t>
  </si>
  <si>
    <t>['Potatoes', 'Dish Soap', 'Cereal']</t>
  </si>
  <si>
    <t>Michele Cook</t>
  </si>
  <si>
    <t>['Cleaning Rags']</t>
  </si>
  <si>
    <t>Megan Duran</t>
  </si>
  <si>
    <t>['BBQ Sauce', 'Jam']</t>
  </si>
  <si>
    <t>Rachel Pearson</t>
  </si>
  <si>
    <t>David Stone</t>
  </si>
  <si>
    <t>Mark Martinez</t>
  </si>
  <si>
    <t>Chase Richard</t>
  </si>
  <si>
    <t>['Cereal Bars', 'Mop', 'Broom', 'Soap', 'Trash Bags']</t>
  </si>
  <si>
    <t>Barry Patterson</t>
  </si>
  <si>
    <t>['Tomatoes', 'Shaving Cream', 'Butter', 'Vinegar']</t>
  </si>
  <si>
    <t>Felicia Cook</t>
  </si>
  <si>
    <t>Jillian Walsh</t>
  </si>
  <si>
    <t>['Canned Soup', 'Mustard', 'Tuna']</t>
  </si>
  <si>
    <t>Adam Garrett</t>
  </si>
  <si>
    <t>['Razors', 'Baby Wipes', 'Chips', 'Razors']</t>
  </si>
  <si>
    <t>Richard Santiago</t>
  </si>
  <si>
    <t>['Insect Repellent', 'Rice']</t>
  </si>
  <si>
    <t>Diana White</t>
  </si>
  <si>
    <t>['Shampoo', 'Honey', 'Diapers', 'Potatoes']</t>
  </si>
  <si>
    <t>Cody Bates</t>
  </si>
  <si>
    <t>['Carrots', 'Spinach']</t>
  </si>
  <si>
    <t>Mary Maddox</t>
  </si>
  <si>
    <t>['Plant Fertilizer', 'Orange', 'Vacuum Cleaner', 'Lawn Mower', 'Canned Soup']</t>
  </si>
  <si>
    <t>Christopher Davis</t>
  </si>
  <si>
    <t>['Iron', 'Ice Cream', 'Light Bulbs', 'Onions']</t>
  </si>
  <si>
    <t>Thomas Fitzgerald</t>
  </si>
  <si>
    <t>['Jam']</t>
  </si>
  <si>
    <t>Paul Silva</t>
  </si>
  <si>
    <t>['Peanut Butter', 'Trash Cans']</t>
  </si>
  <si>
    <t>Sabrina Kim DDS</t>
  </si>
  <si>
    <t>['Toothbrush', 'Dish Soap', 'Insect Repellent', 'Mustard', 'Trash Cans']</t>
  </si>
  <si>
    <t>Leslie Bowman</t>
  </si>
  <si>
    <t>Amanda Wilson DDS</t>
  </si>
  <si>
    <t>['Banana']</t>
  </si>
  <si>
    <t>Kristin Rodriguez</t>
  </si>
  <si>
    <t>['Paper Towels', 'Tea', 'Beef']</t>
  </si>
  <si>
    <t>Kristen Ramsey</t>
  </si>
  <si>
    <t>['Paper Towels', 'Chips']</t>
  </si>
  <si>
    <t>James Fox</t>
  </si>
  <si>
    <t>Mary Hendricks</t>
  </si>
  <si>
    <t>['Trash Cans', 'Cereal', 'Broom']</t>
  </si>
  <si>
    <t>Jamie Williams</t>
  </si>
  <si>
    <t>Thomas Hughes</t>
  </si>
  <si>
    <t>['Banana', 'Deodorant', 'Coffee', 'Laundry Detergent']</t>
  </si>
  <si>
    <t>Natasha Cooper</t>
  </si>
  <si>
    <t>Kathleen Allen</t>
  </si>
  <si>
    <t>['Power Strips', 'Lawn Mower', 'Toothpaste']</t>
  </si>
  <si>
    <t>Julie Johnson</t>
  </si>
  <si>
    <t>['Butter', 'Bread', 'Feminine Hygiene Products', 'Paper Towels', 'Canned Soup']</t>
  </si>
  <si>
    <t>Gabriel Clark</t>
  </si>
  <si>
    <t>['Cereal Bars', 'Salmon', 'Banana']</t>
  </si>
  <si>
    <t>Barry Warner</t>
  </si>
  <si>
    <t>['Trash Bags', 'Cleaning Spray', 'Salmon']</t>
  </si>
  <si>
    <t>Karen Carter</t>
  </si>
  <si>
    <t>Austin Moore</t>
  </si>
  <si>
    <t>['Laundry Detergent', 'Cleaning Rags', 'Vinegar', 'Laundry Detergent']</t>
  </si>
  <si>
    <t>Nicholas Henderson</t>
  </si>
  <si>
    <t>['Ice Cream', 'Cereal', 'Tomatoes', 'Orange', 'Onions']</t>
  </si>
  <si>
    <t>Shelia Edwards</t>
  </si>
  <si>
    <t>Laura Edwards</t>
  </si>
  <si>
    <t>['Rice', 'Baby Wipes', 'Bread', 'Milk', 'Shrimp']</t>
  </si>
  <si>
    <t>Dylan Leonard</t>
  </si>
  <si>
    <t>Jeremiah Fernandez</t>
  </si>
  <si>
    <t>['Honey', 'Trash Bags', 'Tuna', 'Canned Soup', 'Vinegar']</t>
  </si>
  <si>
    <t>Kyle Mitchell</t>
  </si>
  <si>
    <t>['Vinegar', 'Insect Repellent']</t>
  </si>
  <si>
    <t>Bill Mejia</t>
  </si>
  <si>
    <t>['Canned Soup', 'Peanut Butter', 'Orange']</t>
  </si>
  <si>
    <t>Edward Ramsey</t>
  </si>
  <si>
    <t>['BBQ Sauce', 'Butter', 'Banana', 'Plant Fertilizer', 'Coffee']</t>
  </si>
  <si>
    <t>Elizabeth Brown</t>
  </si>
  <si>
    <t>['Banana', 'Pasta']</t>
  </si>
  <si>
    <t>Terri Reeves</t>
  </si>
  <si>
    <t>['Deodorant', 'Water', 'Olive Oil', 'Bath Towels']</t>
  </si>
  <si>
    <t>Sandra Griffith</t>
  </si>
  <si>
    <t>['Ice Cream', 'Canned Soup']</t>
  </si>
  <si>
    <t>Andrea Allen</t>
  </si>
  <si>
    <t>['Orange', 'Tuna', 'Olive Oil']</t>
  </si>
  <si>
    <t>Kevin Townsend</t>
  </si>
  <si>
    <t>['Dishware', 'Vacuum Cleaner', 'Carrots']</t>
  </si>
  <si>
    <t>Amanda Cummings</t>
  </si>
  <si>
    <t>['Light Bulbs', 'Diapers', 'Peanut Butter', 'Cereal']</t>
  </si>
  <si>
    <t>Dr. Kiara Valentine DDS</t>
  </si>
  <si>
    <t>['Shampoo', 'Trash Cans']</t>
  </si>
  <si>
    <t>Patricia Ward</t>
  </si>
  <si>
    <t>['Bread', 'Ice Cream', 'Onions', 'Air Freshener', 'Spinach']</t>
  </si>
  <si>
    <t>Toni Harris</t>
  </si>
  <si>
    <t>['Mop', 'Vacuum Cleaner', 'Shower Gel', 'Light Bulbs']</t>
  </si>
  <si>
    <t>Scott Nichols</t>
  </si>
  <si>
    <t>['Milk', 'Broom']</t>
  </si>
  <si>
    <t>Rebekah Rivera</t>
  </si>
  <si>
    <t>['Toothbrush', 'Soda', 'Syrup', 'Tissues']</t>
  </si>
  <si>
    <t>Tricia Dillon</t>
  </si>
  <si>
    <t>['Extension Cords', 'Eggs', 'Feminine Hygiene Products', 'Lawn Mower', 'Spinach']</t>
  </si>
  <si>
    <t>Nicholas Silva</t>
  </si>
  <si>
    <t>['Honey', 'Olive Oil']</t>
  </si>
  <si>
    <t>Kelsey Schroeder</t>
  </si>
  <si>
    <t>['Dishware', 'Garden Hose', 'Syrup', 'Coffee']</t>
  </si>
  <si>
    <t>Daniel Foster</t>
  </si>
  <si>
    <t>Rachel Carpenter</t>
  </si>
  <si>
    <t>['Pancake Mix', 'Pancake Mix', 'Jam', 'Sponges', 'Air Freshener']</t>
  </si>
  <si>
    <t>Lauren Carson</t>
  </si>
  <si>
    <t>['Shaving Cream', 'Pickles', 'Cleaning Rags', 'Tomatoes', 'Extension Cords']</t>
  </si>
  <si>
    <t>Aaron Henderson</t>
  </si>
  <si>
    <t>['Garden Hose', 'Vacuum Cleaner']</t>
  </si>
  <si>
    <t>Chloe Parks</t>
  </si>
  <si>
    <t>['Iron', 'Dish Soap', 'Trash Bags']</t>
  </si>
  <si>
    <t>Cynthia Lopez</t>
  </si>
  <si>
    <t>Miranda Jimenez</t>
  </si>
  <si>
    <t>['Eggs', 'Hair Gel']</t>
  </si>
  <si>
    <t>Paula Barton</t>
  </si>
  <si>
    <t>['Chips', 'Trash Bags', 'Ketchup', 'Soap', 'Shrimp']</t>
  </si>
  <si>
    <t>['Shaving Cream', 'Cleaning Spray', 'Butter', 'Mayonnaise', 'Vinegar']</t>
  </si>
  <si>
    <t>Rebecca Glenn</t>
  </si>
  <si>
    <t>['Trash Bags', 'Shower Gel', 'Dish Soap', 'Yogurt']</t>
  </si>
  <si>
    <t>Ian Martin</t>
  </si>
  <si>
    <t>Miguel Kelly</t>
  </si>
  <si>
    <t>['Ironing Board', 'Paper Towels', 'Tomatoes', 'Tea']</t>
  </si>
  <si>
    <t>Mark Casey</t>
  </si>
  <si>
    <t>['Spinach', 'Shrimp']</t>
  </si>
  <si>
    <t>Austin Reyes</t>
  </si>
  <si>
    <t>['Canned Soup', 'Insect Repellent', 'Hand Sanitizer', 'Potatoes']</t>
  </si>
  <si>
    <t>Heidi Perkins</t>
  </si>
  <si>
    <t>['Ice Cream', 'Paper Towels', 'Ironing Board']</t>
  </si>
  <si>
    <t>Brittany Peters</t>
  </si>
  <si>
    <t>['Soda', 'Olive Oil', 'Rice', 'Diapers']</t>
  </si>
  <si>
    <t>Steven Andrade</t>
  </si>
  <si>
    <t>['Deodorant', 'Mustard', 'Paper Towels', 'Baby Wipes']</t>
  </si>
  <si>
    <t>Samuel Mcconnell</t>
  </si>
  <si>
    <t>['Toilet Paper', 'Shower Gel', 'Banana', 'Tomatoes', 'Carrots']</t>
  </si>
  <si>
    <t>Sarah Jones</t>
  </si>
  <si>
    <t>['Soda']</t>
  </si>
  <si>
    <t>Alexandra Kennedy</t>
  </si>
  <si>
    <t>['Iron', 'Feminine Hygiene Products', 'Tea']</t>
  </si>
  <si>
    <t>David Espinoza</t>
  </si>
  <si>
    <t>['Cleaning Spray', 'Paper Towels', 'Tissues']</t>
  </si>
  <si>
    <t>Patricia Wilkinson</t>
  </si>
  <si>
    <t>['Deodorant', 'Toilet Paper', 'Potatoes']</t>
  </si>
  <si>
    <t>Robert Foster</t>
  </si>
  <si>
    <t>['Dish Soap', 'Ice Cream', 'Onions']</t>
  </si>
  <si>
    <t>Catherine Baker</t>
  </si>
  <si>
    <t>['Garden Hose', 'Cereal']</t>
  </si>
  <si>
    <t>Javier Snow PhD</t>
  </si>
  <si>
    <t>['Tissues']</t>
  </si>
  <si>
    <t>Robert Mcdaniel</t>
  </si>
  <si>
    <t>['Mayonnaise', 'Jam']</t>
  </si>
  <si>
    <t>Nicholas Washington</t>
  </si>
  <si>
    <t>Richard Huynh</t>
  </si>
  <si>
    <t>['Tuna', 'Razors', 'Deodorant', 'Bath Towels', 'Hair Gel']</t>
  </si>
  <si>
    <t>Kathryn Brooks</t>
  </si>
  <si>
    <t>['Soda', 'Chicken', 'Insect Repellent']</t>
  </si>
  <si>
    <t>Christopher Wright</t>
  </si>
  <si>
    <t>['Cleaning Rags', 'Honey', 'Bread', 'Mop']</t>
  </si>
  <si>
    <t>Robert Scott</t>
  </si>
  <si>
    <t>['Toothbrush', 'Mustard', 'Spinach', 'Cleaning Rags']</t>
  </si>
  <si>
    <t>Laura Schmidt</t>
  </si>
  <si>
    <t>['Paper Towels', 'Ironing Board', 'Dish Soap', 'Yogurt', 'Air Freshener']</t>
  </si>
  <si>
    <t>Edward Fernandez</t>
  </si>
  <si>
    <t>Daisy Cain</t>
  </si>
  <si>
    <t>['Potatoes', 'Soda', 'Hand Sanitizer', 'Sponges', 'Tuna']</t>
  </si>
  <si>
    <t>Krystal Young</t>
  </si>
  <si>
    <t>['Water', 'Pancake Mix']</t>
  </si>
  <si>
    <t>Anna Richard</t>
  </si>
  <si>
    <t>['Chicken', 'Baby Wipes', 'Ice Cream', 'Chips', 'Yogurt']</t>
  </si>
  <si>
    <t>Cheryl Solis</t>
  </si>
  <si>
    <t>['BBQ Sauce', 'Tea', 'Garden Hose', 'Cheese']</t>
  </si>
  <si>
    <t>Timothy Lane</t>
  </si>
  <si>
    <t>['Cleaning Spray']</t>
  </si>
  <si>
    <t>Peter Cruz</t>
  </si>
  <si>
    <t>['Pasta', 'Tissues', 'Onions', 'Pasta']</t>
  </si>
  <si>
    <t>Taylor Everett</t>
  </si>
  <si>
    <t>['Razors', 'Syrup']</t>
  </si>
  <si>
    <t>Carla Smith</t>
  </si>
  <si>
    <t>['Mop', 'Light Bulbs', 'Trash Cans', 'Eggs', 'Laundry Detergent']</t>
  </si>
  <si>
    <t>Vanessa Myers</t>
  </si>
  <si>
    <t>['Iron', 'Trash Bags', 'Feminine Hygiene Products']</t>
  </si>
  <si>
    <t>Joseph Roberts</t>
  </si>
  <si>
    <t>['Extension Cords', 'Honey', 'Carrots', 'Cereal', 'Diapers']</t>
  </si>
  <si>
    <t>Donna Fitzgerald</t>
  </si>
  <si>
    <t>['Toilet Paper', 'Soda', 'Cereal Bars', 'Apple']</t>
  </si>
  <si>
    <t>Brittany Ward</t>
  </si>
  <si>
    <t>['Cleaning Rags', 'Cleaning Spray', 'Tissues']</t>
  </si>
  <si>
    <t>Dennis Richardson</t>
  </si>
  <si>
    <t>['Trash Cans', 'Sponges', 'Canned Soup']</t>
  </si>
  <si>
    <t>Misty Pena</t>
  </si>
  <si>
    <t>['Mayonnaise', 'Toothbrush', 'Water', 'Mop']</t>
  </si>
  <si>
    <t>Brenda Garcia</t>
  </si>
  <si>
    <t>['Feminine Hygiene Products', 'Banana', 'Tissues', 'Olive Oil']</t>
  </si>
  <si>
    <t>Ryan Newman</t>
  </si>
  <si>
    <t>['Cheese', 'Honey', 'Milk']</t>
  </si>
  <si>
    <t>Tiffany Kelley</t>
  </si>
  <si>
    <t>['Ironing Board', 'Tea', 'Jam', 'Beef', 'Vacuum Cleaner']</t>
  </si>
  <si>
    <t>Seth Walker</t>
  </si>
  <si>
    <t>Monica Terrell</t>
  </si>
  <si>
    <t>['Potatoes', 'Cereal', 'Extension Cords', 'Plant Fertilizer', 'Bath Towels']</t>
  </si>
  <si>
    <t>Victoria Scott</t>
  </si>
  <si>
    <t>['Shaving Cream', 'Hair Gel', 'Cleaning Spray', 'Mop', 'Tissues']</t>
  </si>
  <si>
    <t>Steven Jackson MD</t>
  </si>
  <si>
    <t>['Power Strips', 'Plant Fertilizer', 'Razors', 'Lawn Mower']</t>
  </si>
  <si>
    <t>Martin Love</t>
  </si>
  <si>
    <t>['Extension Cords', 'Cereal Bars', 'Toothbrush', 'Mayonnaise']</t>
  </si>
  <si>
    <t>David Mcclure</t>
  </si>
  <si>
    <t>Austin Deleon</t>
  </si>
  <si>
    <t>['Jam', 'Trash Cans']</t>
  </si>
  <si>
    <t>Tina Mooney</t>
  </si>
  <si>
    <t>Melinda Crawford</t>
  </si>
  <si>
    <t>['Water', 'Syrup', 'Spinach', 'Canned Soup']</t>
  </si>
  <si>
    <t>Caleb Booth</t>
  </si>
  <si>
    <t>['Pasta', 'Syrup', 'Hair Gel', 'Diapers']</t>
  </si>
  <si>
    <t>Louis Donovan</t>
  </si>
  <si>
    <t>['Paper Towels', 'Hand Sanitizer', 'Chips', 'Lawn Mower']</t>
  </si>
  <si>
    <t>Kelli Fitzpatrick</t>
  </si>
  <si>
    <t>['Iron', 'Apple', 'Chicken']</t>
  </si>
  <si>
    <t>John Henderson DDS</t>
  </si>
  <si>
    <t>['Water']</t>
  </si>
  <si>
    <t>Kenneth Short</t>
  </si>
  <si>
    <t>Jacqueline Perez</t>
  </si>
  <si>
    <t>['Milk', 'Jam', 'Shrimp']</t>
  </si>
  <si>
    <t>Julie Bowen</t>
  </si>
  <si>
    <t>['Diapers', 'Toothbrush', 'Ice Cream', 'Cereal']</t>
  </si>
  <si>
    <t>Aaron Davis</t>
  </si>
  <si>
    <t>['Plant Fertilizer', 'Yogurt']</t>
  </si>
  <si>
    <t>Isabella Cooper</t>
  </si>
  <si>
    <t>['Pasta']</t>
  </si>
  <si>
    <t>Christie Ibarra</t>
  </si>
  <si>
    <t>['Milk', 'Butter']</t>
  </si>
  <si>
    <t>Douglas Wise</t>
  </si>
  <si>
    <t>['Trash Cans', 'Water', 'Shaving Cream', 'Razors']</t>
  </si>
  <si>
    <t>Donald Gilbert</t>
  </si>
  <si>
    <t>['Syrup', 'Plant Fertilizer', 'Bath Towels', 'Toothbrush']</t>
  </si>
  <si>
    <t>Brandon Chen</t>
  </si>
  <si>
    <t>['Dishware', 'Toothpaste', 'Toothbrush', 'Power Strips', 'Olive Oil']</t>
  </si>
  <si>
    <t>Mark Lynch</t>
  </si>
  <si>
    <t>['Feminine Hygiene Products', 'Mustard', 'Coffee', 'Cereal Bars']</t>
  </si>
  <si>
    <t>Mary Tanner</t>
  </si>
  <si>
    <t>['Peanut Butter', 'Laundry Detergent', 'Toothpaste', 'Mustard']</t>
  </si>
  <si>
    <t>Karen Davidson</t>
  </si>
  <si>
    <t>Ian Price</t>
  </si>
  <si>
    <t>['Butter', 'Dish Soap', 'Broom']</t>
  </si>
  <si>
    <t>Sarah Vasquez</t>
  </si>
  <si>
    <t>Leslie Graves</t>
  </si>
  <si>
    <t>['Rice', 'Jam', 'Salmon', 'Tissues', 'Air Freshener']</t>
  </si>
  <si>
    <t>Christopher Garcia</t>
  </si>
  <si>
    <t>['Toothpaste', 'Syrup', 'Soda']</t>
  </si>
  <si>
    <t>Emily Martin</t>
  </si>
  <si>
    <t>['Milk', 'Shower Gel', 'BBQ Sauce', 'Diapers']</t>
  </si>
  <si>
    <t>Alicia Lawson</t>
  </si>
  <si>
    <t>['Dustpan', 'Mayonnaise']</t>
  </si>
  <si>
    <t>Beth Martinez</t>
  </si>
  <si>
    <t>Ann Daugherty</t>
  </si>
  <si>
    <t>['Razors', 'Sponges', 'Toothpaste', 'Tea', 'Milk']</t>
  </si>
  <si>
    <t>Scott Smith</t>
  </si>
  <si>
    <t>['BBQ Sauce', 'Pickles', 'Mop', 'Cleaning Spray', 'Mayonnaise']</t>
  </si>
  <si>
    <t>Sharon Norman</t>
  </si>
  <si>
    <t>['Shaving Cream', 'Laundry Detergent', 'Extension Cords', 'Plant Fertilizer']</t>
  </si>
  <si>
    <t>Jamie Bautista</t>
  </si>
  <si>
    <t>['Cereal', 'Insect Repellent', 'Orange', 'Carrots']</t>
  </si>
  <si>
    <t>Elizabeth Smith</t>
  </si>
  <si>
    <t>['Mustard', 'Coffee', 'Soap']</t>
  </si>
  <si>
    <t>Brenda Chavez</t>
  </si>
  <si>
    <t>['Mop', 'Peanut Butter', 'Apple', 'Mayonnaise']</t>
  </si>
  <si>
    <t>Mary Hall</t>
  </si>
  <si>
    <t>['Soap', 'Ketchup', 'Ketchup', 'Rice']</t>
  </si>
  <si>
    <t>Jessica Wade DVM</t>
  </si>
  <si>
    <t>['Eggs', 'Shampoo']</t>
  </si>
  <si>
    <t>Kimberly Williams</t>
  </si>
  <si>
    <t>['Bath Towels', 'Cereal Bars']</t>
  </si>
  <si>
    <t>Brian Campos</t>
  </si>
  <si>
    <t>['Pickles', 'Bath Towels']</t>
  </si>
  <si>
    <t>Ryan Bailey</t>
  </si>
  <si>
    <t>['Canned Soup', 'Broom', 'Power Strips']</t>
  </si>
  <si>
    <t>Jasmine Jones</t>
  </si>
  <si>
    <t>['Garden Hose', 'Milk', 'Chicken', 'Tea']</t>
  </si>
  <si>
    <t>Lynn Smith</t>
  </si>
  <si>
    <t>['Hair Gel', 'Toothbrush']</t>
  </si>
  <si>
    <t>James Ramirez</t>
  </si>
  <si>
    <t>['Butter', 'Dustpan']</t>
  </si>
  <si>
    <t>Stacy Ballard</t>
  </si>
  <si>
    <t>['Trash Bags', 'Mop', 'Potatoes', 'Tuna']</t>
  </si>
  <si>
    <t>Dr. Jerry Massey</t>
  </si>
  <si>
    <t>Marcus Smith</t>
  </si>
  <si>
    <t>Jessica Rodriguez</t>
  </si>
  <si>
    <t>['Broom', 'Bath Towels', 'Hair Gel']</t>
  </si>
  <si>
    <t>Heather Hunter</t>
  </si>
  <si>
    <t>['Diapers', 'Air Freshener', 'Cheese']</t>
  </si>
  <si>
    <t>Felicia Miller</t>
  </si>
  <si>
    <t>Benjamin Dyer</t>
  </si>
  <si>
    <t>Tammy Cabrera</t>
  </si>
  <si>
    <t>['Dish Soap', 'Mustard']</t>
  </si>
  <si>
    <t>Teresa Ponce</t>
  </si>
  <si>
    <t>['Pasta', 'Trash Cans', 'Diapers']</t>
  </si>
  <si>
    <t>Karen Thompson</t>
  </si>
  <si>
    <t>Jenna Barnett</t>
  </si>
  <si>
    <t>Sonya Smith</t>
  </si>
  <si>
    <t>['Lawn Mower', 'Cheese', 'Toothpaste']</t>
  </si>
  <si>
    <t>Renee Ramos</t>
  </si>
  <si>
    <t>Nicole Scott</t>
  </si>
  <si>
    <t>['Tomatoes', 'Jam', 'Extension Cords']</t>
  </si>
  <si>
    <t>Anthony Haynes</t>
  </si>
  <si>
    <t>['Olive Oil', 'Toothpaste']</t>
  </si>
  <si>
    <t>Edward Shelton</t>
  </si>
  <si>
    <t>['Potatoes', 'Pickles', 'Razors']</t>
  </si>
  <si>
    <t>Rachel Potts</t>
  </si>
  <si>
    <t>['Jam', 'Syrup', 'Spinach']</t>
  </si>
  <si>
    <t>Jackson Simpson</t>
  </si>
  <si>
    <t>['Tomatoes', 'Toothbrush', 'Toilet Paper']</t>
  </si>
  <si>
    <t>Larry Hoffman</t>
  </si>
  <si>
    <t>John Stout</t>
  </si>
  <si>
    <t>['Jam', 'Broom']</t>
  </si>
  <si>
    <t>Evan Casey</t>
  </si>
  <si>
    <t>Jeanne Kennedy</t>
  </si>
  <si>
    <t>['Shaving Cream', 'Trash Cans', 'Coffee', 'Ironing Board', 'Dishware']</t>
  </si>
  <si>
    <t>James Morse</t>
  </si>
  <si>
    <t>['Pickles', 'Pickles', 'Apple', 'Pickles', 'Ironing Board']</t>
  </si>
  <si>
    <t>Derrick Fernandez</t>
  </si>
  <si>
    <t>['Potatoes', 'Extension Cords', 'Cereal', 'Iron']</t>
  </si>
  <si>
    <t>Veronica Perry</t>
  </si>
  <si>
    <t>['Butter']</t>
  </si>
  <si>
    <t>Cody Sanchez</t>
  </si>
  <si>
    <t>Alexandria Roberts</t>
  </si>
  <si>
    <t>['Honey', 'Razors', 'Water', 'Garden Hose', 'Shrimp']</t>
  </si>
  <si>
    <t>Sarah Wheeler</t>
  </si>
  <si>
    <t>['Cheese', 'Onions', 'Ironing Board', 'Lawn Mower']</t>
  </si>
  <si>
    <t>Tara Gordon</t>
  </si>
  <si>
    <t>['Yogurt']</t>
  </si>
  <si>
    <t>Ms. Stephanie Thompson</t>
  </si>
  <si>
    <t>Katrina Franklin</t>
  </si>
  <si>
    <t>Brittney Johnson</t>
  </si>
  <si>
    <t>['Toilet Paper', 'Chips']</t>
  </si>
  <si>
    <t>Timothy Jones</t>
  </si>
  <si>
    <t>['Hand Sanitizer', 'Vacuum Cleaner', 'Trash Bags', 'Plant Fertilizer']</t>
  </si>
  <si>
    <t>Colleen Daniels</t>
  </si>
  <si>
    <t>['Toothbrush', 'Diapers', 'Toothbrush']</t>
  </si>
  <si>
    <t>Rachel Jacobs</t>
  </si>
  <si>
    <t>['Baby Wipes', 'Soap', 'Cereal Bars']</t>
  </si>
  <si>
    <t>Jason Hawkins</t>
  </si>
  <si>
    <t>['Ice Cream', 'Diapers', 'Vinegar']</t>
  </si>
  <si>
    <t>Zachary Gardner</t>
  </si>
  <si>
    <t>['Light Bulbs', 'Lawn Mower', 'Cereal', 'Dustpan', 'Trash Bags']</t>
  </si>
  <si>
    <t>Gregory Torres</t>
  </si>
  <si>
    <t>['Spinach', 'Yogurt']</t>
  </si>
  <si>
    <t>Frederick Hernandez</t>
  </si>
  <si>
    <t>['Carrots', 'Salmon', 'Water', 'Spinach']</t>
  </si>
  <si>
    <t>Stephanie Diaz</t>
  </si>
  <si>
    <t>['Hair Gel', 'Broom']</t>
  </si>
  <si>
    <t>Mrs. Brittany Snyder</t>
  </si>
  <si>
    <t>Mason Rodriguez</t>
  </si>
  <si>
    <t>['Chicken', 'Pancake Mix', 'Vinegar', 'Milk', 'Orange']</t>
  </si>
  <si>
    <t>Brian Allen</t>
  </si>
  <si>
    <t>['Jam', 'Pasta', 'Coffee']</t>
  </si>
  <si>
    <t>Sarah Salas</t>
  </si>
  <si>
    <t>['Ketchup', 'Syrup']</t>
  </si>
  <si>
    <t>Paul Patterson</t>
  </si>
  <si>
    <t>['Carrots', 'Ketchup', 'Syrup']</t>
  </si>
  <si>
    <t>Kristin Simmons</t>
  </si>
  <si>
    <t>['Bread', 'Power Strips', 'Tea']</t>
  </si>
  <si>
    <t>Peter Mathis</t>
  </si>
  <si>
    <t>['Feminine Hygiene Products', 'Salmon', 'Beef', 'Honey', 'Tea']</t>
  </si>
  <si>
    <t>Traci Smith</t>
  </si>
  <si>
    <t>['Chips', 'Apple', 'Shrimp', 'Pickles']</t>
  </si>
  <si>
    <t>Brandi Mcguire</t>
  </si>
  <si>
    <t>Jesse Davis</t>
  </si>
  <si>
    <t>['Power Strips', 'Diapers', 'Paper Towels', 'Ketchup', 'Paper Towels']</t>
  </si>
  <si>
    <t>Jennifer Gonzalez</t>
  </si>
  <si>
    <t>['Extension Cords', 'Broom']</t>
  </si>
  <si>
    <t>Leah Rice</t>
  </si>
  <si>
    <t>['Milk', 'BBQ Sauce', 'Onions', 'Dustpan', 'Tomatoes']</t>
  </si>
  <si>
    <t>Danielle Holt</t>
  </si>
  <si>
    <t>['Potatoes', 'Hair Gel']</t>
  </si>
  <si>
    <t>Donna Williams</t>
  </si>
  <si>
    <t>['Rice', 'Jam', 'Sponges']</t>
  </si>
  <si>
    <t>Benjamin Wagner</t>
  </si>
  <si>
    <t>Justin Harris</t>
  </si>
  <si>
    <t>['Eggs', 'Pancake Mix']</t>
  </si>
  <si>
    <t>Dawn Yu</t>
  </si>
  <si>
    <t>['Chips', 'Cleaning Spray', 'Insect Repellent', 'Mop']</t>
  </si>
  <si>
    <t>Joseph Young</t>
  </si>
  <si>
    <t>['Water', 'Milk', 'Insect Repellent', 'BBQ Sauce', 'Bath Towels']</t>
  </si>
  <si>
    <t>Dylan Bradley</t>
  </si>
  <si>
    <t>['Eggs', 'Spinach', 'Dish Soap', 'Pickles']</t>
  </si>
  <si>
    <t>Shannon Meyer</t>
  </si>
  <si>
    <t>['Cleaning Spray', 'Butter']</t>
  </si>
  <si>
    <t>Nathan Morris</t>
  </si>
  <si>
    <t>['Apple', 'Bread']</t>
  </si>
  <si>
    <t>Steven Anderson</t>
  </si>
  <si>
    <t>['Coffee', 'Cereal', 'Bread', 'Tomatoes']</t>
  </si>
  <si>
    <t>Mrs. Isabel Montoya DVM</t>
  </si>
  <si>
    <t>Virginia Tanner</t>
  </si>
  <si>
    <t>['Ice Cream', 'Tissues', 'Spinach', 'Hair Gel', 'Orange']</t>
  </si>
  <si>
    <t>Christina Brooks</t>
  </si>
  <si>
    <t>['Pasta', 'Canned Soup']</t>
  </si>
  <si>
    <t>Ann Richard</t>
  </si>
  <si>
    <t>['Garden Hose', 'Soap', 'Ironing Board', 'Soap', 'Shower Gel']</t>
  </si>
  <si>
    <t>Kevin Snyder</t>
  </si>
  <si>
    <t>['Lawn Mower', 'Soap', 'Shrimp', 'Potatoes']</t>
  </si>
  <si>
    <t>Tracy Shelton</t>
  </si>
  <si>
    <t>['Honey', 'Garden Hose', 'Lawn Mower', 'Onions', 'Mop']</t>
  </si>
  <si>
    <t>Ethan Ingram</t>
  </si>
  <si>
    <t>['Garden Hose', 'Laundry Detergent']</t>
  </si>
  <si>
    <t>Daniel Holland</t>
  </si>
  <si>
    <t>['Milk', 'BBQ Sauce', 'Apple']</t>
  </si>
  <si>
    <t>Sydney Henry</t>
  </si>
  <si>
    <t>['Toothpaste', 'Pasta', 'Hair Gel', 'Onions', 'Cleaning Rags']</t>
  </si>
  <si>
    <t>Shawn Smith</t>
  </si>
  <si>
    <t>['Spinach', 'Mustard', 'Tuna', 'Bath Towels']</t>
  </si>
  <si>
    <t>Edgar Larsen</t>
  </si>
  <si>
    <t>['Eggs', 'Bath Towels']</t>
  </si>
  <si>
    <t>Jessica Pena</t>
  </si>
  <si>
    <t>['Soda', 'Onions']</t>
  </si>
  <si>
    <t>Lawrence Wilson</t>
  </si>
  <si>
    <t>Teresa Brooks</t>
  </si>
  <si>
    <t>['Soap', 'Air Freshener', 'Spinach']</t>
  </si>
  <si>
    <t>Pamela Taylor</t>
  </si>
  <si>
    <t>['Dustpan', 'Hair Gel']</t>
  </si>
  <si>
    <t>Jeremy Chambers</t>
  </si>
  <si>
    <t>['Potatoes', 'Canned Soup', 'Banana', 'Pickles']</t>
  </si>
  <si>
    <t>Emily King</t>
  </si>
  <si>
    <t>['Iron', 'Pickles']</t>
  </si>
  <si>
    <t>Shane Campbell</t>
  </si>
  <si>
    <t>Robert Oneill</t>
  </si>
  <si>
    <t>['Insect Repellent', 'Lawn Mower', 'Dish Soap', 'Beef', 'Jam']</t>
  </si>
  <si>
    <t>Jose Kelly</t>
  </si>
  <si>
    <t>['Broom', 'Lawn Mower', 'Pancake Mix']</t>
  </si>
  <si>
    <t>Rachel Reyes</t>
  </si>
  <si>
    <t>['Pickles', 'Cheese', 'Shaving Cream']</t>
  </si>
  <si>
    <t>Elizabeth Davis</t>
  </si>
  <si>
    <t>['Razors', 'Light Bulbs', 'Eggs', 'Carrots', 'Salmon']</t>
  </si>
  <si>
    <t>Victor Frank</t>
  </si>
  <si>
    <t>['Garden Hose', 'Cereal', 'Jam', 'Baby Wipes']</t>
  </si>
  <si>
    <t>Andrew Stafford</t>
  </si>
  <si>
    <t>['Honey', 'Salmon', 'Carrots']</t>
  </si>
  <si>
    <t>Cheryl Kelley</t>
  </si>
  <si>
    <t>Thomas Bishop</t>
  </si>
  <si>
    <t>['Pancake Mix', 'Peanut Butter', 'Tea', 'Insect Repellent']</t>
  </si>
  <si>
    <t>Amy Lawson MD</t>
  </si>
  <si>
    <t>['Power Strips', 'Butter', 'BBQ Sauce', 'Rice']</t>
  </si>
  <si>
    <t>Brian Castro</t>
  </si>
  <si>
    <t>['Olive Oil', 'Dishware', 'Eggs']</t>
  </si>
  <si>
    <t>Jennifer Brock</t>
  </si>
  <si>
    <t>Kimberly Holden</t>
  </si>
  <si>
    <t>['Hand Sanitizer', 'Shampoo']</t>
  </si>
  <si>
    <t>Jill Allen</t>
  </si>
  <si>
    <t>['Water', 'Chips', 'Trash Cans']</t>
  </si>
  <si>
    <t>Patricia Rowe</t>
  </si>
  <si>
    <t>['Bread', 'Olive Oil', 'Paper Towels', 'Banana', 'Mop']</t>
  </si>
  <si>
    <t>David Johnson</t>
  </si>
  <si>
    <t>['Coffee', 'Power Strips']</t>
  </si>
  <si>
    <t>Steven Guerrero</t>
  </si>
  <si>
    <t>['Cereal Bars', 'Dishware', 'Coffee']</t>
  </si>
  <si>
    <t>Krista Harris</t>
  </si>
  <si>
    <t>['Tuna', 'Salmon', 'Salmon']</t>
  </si>
  <si>
    <t>Julie Lindsey</t>
  </si>
  <si>
    <t>['Razors', 'Chips', 'Plant Fertilizer', 'Extension Cords', 'Honey']</t>
  </si>
  <si>
    <t>Angel Johnson</t>
  </si>
  <si>
    <t>['Baby Wipes', 'Carrots', 'Butter', 'Dishware', 'Toilet Paper']</t>
  </si>
  <si>
    <t>Charles Taylor</t>
  </si>
  <si>
    <t>['Eggs', 'Tomatoes', 'Rice', 'Shampoo']</t>
  </si>
  <si>
    <t>Stephanie Smith</t>
  </si>
  <si>
    <t>['Rice', 'Feminine Hygiene Products']</t>
  </si>
  <si>
    <t>Darrell Saunders</t>
  </si>
  <si>
    <t>Brent Brown</t>
  </si>
  <si>
    <t>['Chips', 'Garden Hose', 'Dishware']</t>
  </si>
  <si>
    <t>Stephanie Tran</t>
  </si>
  <si>
    <t>['Sponges', 'Butter']</t>
  </si>
  <si>
    <t>Christopher Harris</t>
  </si>
  <si>
    <t>['Dustpan', 'Rice', 'Deodorant', 'Carrots', 'Paper Towels']</t>
  </si>
  <si>
    <t>Rose Williams</t>
  </si>
  <si>
    <t>['Light Bulbs', 'Sponges', 'Salmon']</t>
  </si>
  <si>
    <t>Ryan Owens</t>
  </si>
  <si>
    <t>['Shaving Cream', 'Shampoo', 'Lawn Mower', 'Light Bulbs', 'Air Freshener']</t>
  </si>
  <si>
    <t>Joan Watson</t>
  </si>
  <si>
    <t>['Onions', 'Spinach', 'Hair Gel', 'BBQ Sauce']</t>
  </si>
  <si>
    <t>Melissa Hernandez</t>
  </si>
  <si>
    <t>Brandy Hutchinson</t>
  </si>
  <si>
    <t>['Vinegar', 'Shower Gel', 'Insect Repellent']</t>
  </si>
  <si>
    <t>Roger Holloway</t>
  </si>
  <si>
    <t>['Ice Cream', 'BBQ Sauce', 'Pickles', 'Dustpan']</t>
  </si>
  <si>
    <t>Wayne French DVM</t>
  </si>
  <si>
    <t>['Power Strips', 'Milk']</t>
  </si>
  <si>
    <t>Michael Martinez</t>
  </si>
  <si>
    <t>['Lawn Mower', 'Toilet Paper', 'Deodorant', 'Air Freshener', 'Ironing Board']</t>
  </si>
  <si>
    <t>Adam Hall</t>
  </si>
  <si>
    <t>['Cereal', 'Milk', 'Yogurt', 'Coffee', 'Light Bulbs']</t>
  </si>
  <si>
    <t>Anthony Valenzuela</t>
  </si>
  <si>
    <t>['Dish Soap', 'Salmon', 'Hand Sanitizer', 'Tuna', 'Syrup']</t>
  </si>
  <si>
    <t>Samantha Nguyen</t>
  </si>
  <si>
    <t>['Bath Towels', 'Ice Cream', 'Honey', 'Chips']</t>
  </si>
  <si>
    <t>Kara Fuller</t>
  </si>
  <si>
    <t>['Mop', 'Iron', 'Ice Cream']</t>
  </si>
  <si>
    <t>Sara Rivers</t>
  </si>
  <si>
    <t>['Toothpaste', 'Cleaning Spray', 'Jam', 'Air Freshener', 'Insect Repellent']</t>
  </si>
  <si>
    <t>Shelby Allen MD</t>
  </si>
  <si>
    <t>['Vinegar', 'Vinegar', 'Mop', 'Iron']</t>
  </si>
  <si>
    <t>Brenda Black</t>
  </si>
  <si>
    <t>Matthew Davis</t>
  </si>
  <si>
    <t>['Tissues', 'Carrots', 'Light Bulbs']</t>
  </si>
  <si>
    <t>Carl Thomas</t>
  </si>
  <si>
    <t>['Extension Cords', 'Garden Hose', 'Light Bulbs', 'Ketchup', 'Paper Towels']</t>
  </si>
  <si>
    <t>Randy Allen</t>
  </si>
  <si>
    <t>['Apple', 'Mayonnaise', 'Coffee', 'Tuna', 'Syrup']</t>
  </si>
  <si>
    <t>Alex King</t>
  </si>
  <si>
    <t>Diane Garcia</t>
  </si>
  <si>
    <t>['Rice', 'Toothbrush', 'Sponges', 'Cheese']</t>
  </si>
  <si>
    <t>Thomas Vance</t>
  </si>
  <si>
    <t>['Shampoo', 'Trash Bags', 'Pasta']</t>
  </si>
  <si>
    <t>Shane Davis</t>
  </si>
  <si>
    <t>['Shaving Cream', 'Apple', 'Mayonnaise']</t>
  </si>
  <si>
    <t>Debra Anderson</t>
  </si>
  <si>
    <t>['Pancake Mix', 'Bath Towels', 'Paper Towels']</t>
  </si>
  <si>
    <t>Derrick Beck</t>
  </si>
  <si>
    <t>['Shrimp', 'Potatoes', 'Water', 'Coffee']</t>
  </si>
  <si>
    <t>Daisy Weaver</t>
  </si>
  <si>
    <t>Rebecca Jones</t>
  </si>
  <si>
    <t>Jordan Mcdaniel</t>
  </si>
  <si>
    <t>Jennifer Nicholson</t>
  </si>
  <si>
    <t>['Toothpaste', 'Tuna', 'Insect Repellent', 'Shrimp']</t>
  </si>
  <si>
    <t>Taylor Anderson</t>
  </si>
  <si>
    <t>James Hartman</t>
  </si>
  <si>
    <t>['Cleaning Rags', 'Beef']</t>
  </si>
  <si>
    <t>Christine Brown</t>
  </si>
  <si>
    <t>['Yogurt', 'Baby Wipes']</t>
  </si>
  <si>
    <t>Brooke Lawrence</t>
  </si>
  <si>
    <t>['Toothpaste', 'Mop']</t>
  </si>
  <si>
    <t>Diane Scott</t>
  </si>
  <si>
    <t>['Toothpaste', 'Diapers']</t>
  </si>
  <si>
    <t>Barbara Allen</t>
  </si>
  <si>
    <t>['Onions', 'Light Bulbs', 'Jam']</t>
  </si>
  <si>
    <t>Wendy White</t>
  </si>
  <si>
    <t>['Vinegar', 'Eggs', 'Diapers']</t>
  </si>
  <si>
    <t>Mrs. Stephanie Spencer</t>
  </si>
  <si>
    <t>['Baby Wipes', 'Butter', 'Lawn Mower', 'Toilet Paper']</t>
  </si>
  <si>
    <t>Sheri Lyons</t>
  </si>
  <si>
    <t>Jessica James</t>
  </si>
  <si>
    <t>['Coffee', 'Coffee']</t>
  </si>
  <si>
    <t>Heather Mills</t>
  </si>
  <si>
    <t>['Mustard', 'Paper Towels', 'Toilet Paper', 'Insect Repellent', 'Soap']</t>
  </si>
  <si>
    <t>Kenneth Barnes</t>
  </si>
  <si>
    <t>['Butter', 'Mayonnaise', 'Tea']</t>
  </si>
  <si>
    <t>Michael Stein</t>
  </si>
  <si>
    <t>Jesse Lewis</t>
  </si>
  <si>
    <t>['Hair Gel', 'Yogurt']</t>
  </si>
  <si>
    <t>Jenny Larson</t>
  </si>
  <si>
    <t>['Cleaning Rags', 'Cleaning Rags', 'Razors', 'Plant Fertilizer']</t>
  </si>
  <si>
    <t>Row Labels</t>
  </si>
  <si>
    <t>Grand Total</t>
  </si>
  <si>
    <t>Sum of Total_Cost</t>
  </si>
  <si>
    <t>Sum of Transaction_ID</t>
  </si>
  <si>
    <t>Count of Transaction_ID</t>
  </si>
  <si>
    <t>year</t>
  </si>
  <si>
    <t>month</t>
  </si>
  <si>
    <t>sales_category</t>
  </si>
  <si>
    <t>discount_status</t>
  </si>
  <si>
    <t xml:space="preserve">transaction_id </t>
  </si>
  <si>
    <t>customer_name</t>
  </si>
  <si>
    <t>customer_name_index_match</t>
  </si>
  <si>
    <t>total_coast</t>
  </si>
  <si>
    <t>retails sales analysis dashboard</t>
  </si>
  <si>
    <t>KPI</t>
  </si>
  <si>
    <t>Meaning</t>
  </si>
  <si>
    <t>Total Sales</t>
  </si>
  <si>
    <t>Total transaction cost</t>
  </si>
  <si>
    <t>Total Transactions</t>
  </si>
  <si>
    <t>Total transaction records</t>
  </si>
  <si>
    <t>Average Transaction Value</t>
  </si>
  <si>
    <t>Average cost per transaction</t>
  </si>
  <si>
    <t>Discounted Transactions</t>
  </si>
  <si>
    <t>Transactions with discoun</t>
  </si>
  <si>
    <t>formula</t>
  </si>
  <si>
    <t>Field</t>
  </si>
  <si>
    <t>Details</t>
  </si>
  <si>
    <t>Project Name</t>
  </si>
  <si>
    <t>Retail Sales Analysis Dashboard</t>
  </si>
  <si>
    <t>Tool Used</t>
  </si>
  <si>
    <t>Microsoft Excel</t>
  </si>
  <si>
    <t>Dataset</t>
  </si>
  <si>
    <t>Retail Transaction Dataset</t>
  </si>
  <si>
    <t>Project Type</t>
  </si>
  <si>
    <t>Data Cleaning, Analysis and Visualization</t>
  </si>
  <si>
    <t>Main Objective</t>
  </si>
  <si>
    <t>Analyze transaction costs, cities, store types, payment methods, customer categories, seasons and promotions</t>
  </si>
  <si>
    <t>Task</t>
  </si>
  <si>
    <t>Description</t>
  </si>
  <si>
    <t>Dataset Import</t>
  </si>
  <si>
    <t>Imported transaction data into Excel</t>
  </si>
  <si>
    <t>Data Cleaning</t>
  </si>
  <si>
    <t>Checked duplicate records, missing values, formats and data types</t>
  </si>
  <si>
    <t>PivotTables</t>
  </si>
  <si>
    <t>Created summaries for city, payment method, store type, season, customer category and promotion</t>
  </si>
  <si>
    <t>Advanced Formulas</t>
  </si>
  <si>
    <t>Applied YEAR, TEXT, IF, nested IF, VLOOKUP and INDEX-MATCH</t>
  </si>
  <si>
    <t>Data Visualization</t>
  </si>
  <si>
    <t>Created charts and applied conditional formatting</t>
  </si>
  <si>
    <t>Interactive Dashboard</t>
  </si>
  <si>
    <t>Added KPI cards, slicers and a date timeline</t>
  </si>
  <si>
    <t>Documentation</t>
  </si>
  <si>
    <t>Organized worksheets and documented the project workflow</t>
  </si>
  <si>
    <t>Project Information</t>
  </si>
  <si>
    <t>Tasks Completed</t>
  </si>
  <si>
    <t>2020</t>
  </si>
  <si>
    <t>2021</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</si>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</sst>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Times New Roman"/>
      <family val="2"/>
    </font>
    <font>
      <sz val="11"/>
      <color theme="1"/>
      <name val="Times New Roman"/>
      <family val="2"/>
    </font>
    <font>
      <sz val="18"/>
      <color theme="3"/>
      <name val="Calibri Light"/>
      <family val="2"/>
      <scheme val="major"/>
    </font>
    <font>
      <b/>
      <sz val="15"/>
      <color theme="3"/>
      <name val="Times New Roman"/>
      <family val="2"/>
    </font>
    <font>
      <b/>
      <sz val="13"/>
      <color theme="3"/>
      <name val="Times New Roman"/>
      <family val="2"/>
    </font>
    <font>
      <b/>
      <sz val="11"/>
      <color theme="3"/>
      <name val="Times New Roman"/>
      <family val="2"/>
    </font>
    <font>
      <sz val="11"/>
      <color rgb="FF006100"/>
      <name val="Times New Roman"/>
      <family val="2"/>
    </font>
    <font>
      <sz val="11"/>
      <color rgb="FF9C0006"/>
      <name val="Times New Roman"/>
      <family val="2"/>
    </font>
    <font>
      <sz val="11"/>
      <color rgb="FF9C5700"/>
      <name val="Times New Roman"/>
      <family val="2"/>
    </font>
    <font>
      <sz val="11"/>
      <color rgb="FF3F3F76"/>
      <name val="Times New Roman"/>
      <family val="2"/>
    </font>
    <font>
      <b/>
      <sz val="11"/>
      <color rgb="FF3F3F3F"/>
      <name val="Times New Roman"/>
      <family val="2"/>
    </font>
    <font>
      <b/>
      <sz val="11"/>
      <color rgb="FFFA7D00"/>
      <name val="Times New Roman"/>
      <family val="2"/>
    </font>
    <font>
      <sz val="11"/>
      <color rgb="FFFA7D00"/>
      <name val="Times New Roman"/>
      <family val="2"/>
    </font>
    <font>
      <b/>
      <sz val="11"/>
      <color theme="0"/>
      <name val="Times New Roman"/>
      <family val="2"/>
    </font>
    <font>
      <sz val="11"/>
      <color rgb="FFFF0000"/>
      <name val="Times New Roman"/>
      <family val="2"/>
    </font>
    <font>
      <i/>
      <sz val="11"/>
      <color rgb="FF7F7F7F"/>
      <name val="Times New Roman"/>
      <family val="2"/>
    </font>
    <font>
      <b/>
      <sz val="11"/>
      <color theme="1"/>
      <name val="Times New Roman"/>
      <family val="2"/>
    </font>
    <font>
      <sz val="11"/>
      <color theme="0"/>
      <name val="Times New Roman"/>
      <family val="2"/>
    </font>
    <font>
      <sz val="8"/>
      <name val="Times New Roman"/>
      <family val="2"/>
    </font>
    <font>
      <sz val="40"/>
      <color theme="3"/>
      <name val="Times New Roman"/>
      <family val="1"/>
    </font>
    <font>
      <sz val="12"/>
      <color rgb="FF222222"/>
      <name val="Arial"/>
      <family val="2"/>
    </font>
    <font>
      <b/>
      <sz val="12"/>
      <color theme="4"/>
      <name val="Arial"/>
      <family val="2"/>
    </font>
    <font>
      <b/>
      <sz val="12"/>
      <color theme="4"/>
      <name val="Times New Roman"/>
      <family val="1"/>
    </font>
    <font>
      <b/>
      <sz val="14"/>
      <color rgb="FF000000"/>
      <name val="Times New Roman"/>
      <family val="1"/>
    </font>
    <font>
      <sz val="11"/>
      <color rgb="FF000000"/>
      <name val="Times New Roman"/>
      <family val="1"/>
    </font>
    <font>
      <sz val="8"/>
      <color rgb="FF000000"/>
      <name val="Times New Roman"/>
      <family val="1"/>
    </font>
    <font>
      <b/>
      <sz val="11"/>
      <color rgb="FF000000"/>
      <name val="Times New Roman"/>
      <family val="1"/>
    </font>
    <font>
      <b/>
      <sz val="11"/>
      <color theme="1"/>
      <name val="Times New Roman"/>
      <family val="1"/>
    </font>
    <font>
      <b/>
      <sz val="8"/>
      <color rgb="FF000000"/>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3" tint="0.59999389629810485"/>
        <bgColor indexed="64"/>
      </patternFill>
    </fill>
    <fill>
      <patternFill patternType="solid">
        <fgColor rgb="FFFFFFFF"/>
        <bgColor indexed="64"/>
      </patternFill>
    </fill>
    <fill>
      <patternFill patternType="solid">
        <fgColor rgb="FFD6DCE4"/>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22" fontId="0" fillId="0" borderId="0" xfId="0" applyNumberFormat="1"/>
    <xf numFmtId="0" fontId="13" fillId="33" borderId="10" xfId="0" applyFont="1" applyFill="1" applyBorder="1"/>
    <xf numFmtId="0" fontId="0" fillId="0" borderId="0" xfId="0" pivotButton="1"/>
    <xf numFmtId="0" fontId="0" fillId="0" borderId="0" xfId="0" applyAlignment="1">
      <alignment horizontal="left"/>
    </xf>
    <xf numFmtId="0" fontId="13" fillId="33" borderId="11" xfId="0" applyFont="1" applyFill="1" applyBorder="1"/>
    <xf numFmtId="0" fontId="20" fillId="35" borderId="0" xfId="0" applyFont="1" applyFill="1" applyAlignment="1">
      <alignment vertical="center" wrapText="1"/>
    </xf>
    <xf numFmtId="0" fontId="21" fillId="35" borderId="12" xfId="0" applyFont="1" applyFill="1" applyBorder="1" applyAlignment="1">
      <alignment horizontal="center" vertical="center" wrapText="1"/>
    </xf>
    <xf numFmtId="0" fontId="0" fillId="0" borderId="12" xfId="0" applyBorder="1"/>
    <xf numFmtId="0" fontId="22" fillId="0" borderId="12" xfId="0" applyFont="1" applyBorder="1"/>
    <xf numFmtId="0" fontId="20" fillId="35" borderId="12" xfId="0" applyFont="1" applyFill="1" applyBorder="1" applyAlignment="1">
      <alignment vertical="center" wrapText="1"/>
    </xf>
    <xf numFmtId="0" fontId="24" fillId="0" borderId="0" xfId="0" applyFont="1"/>
    <xf numFmtId="0" fontId="25" fillId="0" borderId="0" xfId="0" applyFont="1"/>
    <xf numFmtId="0" fontId="26" fillId="0" borderId="0" xfId="0" applyFont="1" applyAlignment="1">
      <alignment horizontal="center" vertical="center" wrapText="1"/>
    </xf>
    <xf numFmtId="0" fontId="24" fillId="0" borderId="0" xfId="0" applyFont="1" applyAlignment="1">
      <alignment vertical="center" wrapText="1"/>
    </xf>
    <xf numFmtId="0" fontId="26" fillId="0" borderId="0" xfId="0" applyFont="1"/>
    <xf numFmtId="0" fontId="26" fillId="0" borderId="0" xfId="0" applyFont="1" applyAlignment="1">
      <alignment vertical="center" wrapText="1"/>
    </xf>
    <xf numFmtId="0" fontId="27" fillId="0" borderId="0" xfId="0" applyFont="1"/>
    <xf numFmtId="0" fontId="28" fillId="0" borderId="0" xfId="0" applyFont="1"/>
    <xf numFmtId="0" fontId="23" fillId="36" borderId="0" xfId="0" applyFont="1" applyFill="1" applyAlignment="1">
      <alignment horizontal="center" vertical="center"/>
    </xf>
    <xf numFmtId="0" fontId="26" fillId="36" borderId="0" xfId="0" applyFont="1" applyFill="1" applyAlignment="1">
      <alignment horizontal="center" vertical="center"/>
    </xf>
    <xf numFmtId="0" fontId="19" fillId="34" borderId="0" xfId="0" applyFont="1" applyFill="1" applyAlignment="1">
      <alignment horizontal="center"/>
    </xf>
    <xf numFmtId="0" fontId="0" fillId="34" borderId="0" xfId="0" applyFill="1" applyAlignment="1">
      <alignment horizontal="center"/>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[Raj_Excel_dashboard.xlsx]sales_by_city!PivotTable7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sales_by_city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sales_by_city!$B$3</c:f>
              <c:strCache>
                <c:ptCount val="1"/>
                <c:pt idx="0">
                  <c:v>Total</c:v>
                </c:pt>
              </c:strCache>
            </c:strRef>
          </c:tx>
          <c:spPr>
            <a:solidFill>
              <a:schemeClr val="accent1"/>
            </a:solidFill>
            <a:ln>
              <a:noFill/>
            </a:ln>
            <a:effectLst/>
          </c:spPr>
          <c:invertIfNegative val="0"/>
          <c:cat>
            <c:strRef>
              <c:f>sales_by_city!$A$4:$A$14</c:f>
              <c:strCache>
                <c:ptCount val="10"/>
                <c:pt idx="0">
                  <c:v>Atlanta</c:v>
                </c:pt>
                <c:pt idx="1">
                  <c:v>Boston</c:v>
                </c:pt>
                <c:pt idx="2">
                  <c:v>Chicago</c:v>
                </c:pt>
                <c:pt idx="3">
                  <c:v>Dallas</c:v>
                </c:pt>
                <c:pt idx="4">
                  <c:v>Houston</c:v>
                </c:pt>
                <c:pt idx="5">
                  <c:v>Los Angeles</c:v>
                </c:pt>
                <c:pt idx="6">
                  <c:v>Miami</c:v>
                </c:pt>
                <c:pt idx="7">
                  <c:v>New York</c:v>
                </c:pt>
                <c:pt idx="8">
                  <c:v>San Francisco</c:v>
                </c:pt>
                <c:pt idx="9">
                  <c:v>Seattle</c:v>
                </c:pt>
              </c:strCache>
            </c:strRef>
          </c:cat>
          <c:val>
            <c:numRef>
              <c:f>sales_by_city!$B$4:$B$14</c:f>
              <c:numCache>
                <c:formatCode>General</c:formatCode>
                <c:ptCount val="10"/>
                <c:pt idx="0">
                  <c:v>4497.5300000000007</c:v>
                </c:pt>
                <c:pt idx="1">
                  <c:v>4775.4300000000012</c:v>
                </c:pt>
                <c:pt idx="2">
                  <c:v>5554.1699999999992</c:v>
                </c:pt>
                <c:pt idx="3">
                  <c:v>5160.7700000000023</c:v>
                </c:pt>
                <c:pt idx="4">
                  <c:v>5025.6699999999983</c:v>
                </c:pt>
                <c:pt idx="5">
                  <c:v>5551.829999999999</c:v>
                </c:pt>
                <c:pt idx="6">
                  <c:v>6008.34</c:v>
                </c:pt>
                <c:pt idx="7">
                  <c:v>3882.62</c:v>
                </c:pt>
                <c:pt idx="8">
                  <c:v>6986.5200000000023</c:v>
                </c:pt>
                <c:pt idx="9">
                  <c:v>5195.4400000000014</c:v>
                </c:pt>
              </c:numCache>
            </c:numRef>
          </c:val>
          <c:extLst>
            <c:ext xmlns:c16="http://schemas.microsoft.com/office/drawing/2014/chart" uri="{C3380CC4-5D6E-409C-BE32-E72D297353CC}">
              <c16:uniqueId val="{00000000-369E-4681-B349-9353D80A2D96}"/>
            </c:ext>
          </c:extLst>
        </c:ser>
        <c:dLbls>
          <c:showLegendKey val="0"/>
          <c:showVal val="0"/>
          <c:showCatName val="0"/>
          <c:showSerName val="0"/>
          <c:showPercent val="0"/>
          <c:showBubbleSize val="0"/>
        </c:dLbls>
        <c:gapWidth val="219"/>
        <c:overlap val="-27"/>
        <c:axId val="721331791"/>
        <c:axId val="662721871"/>
      </c:barChart>
      <c:catAx>
        <c:axId val="72133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21871"/>
        <c:crosses val="autoZero"/>
        <c:auto val="1"/>
        <c:lblAlgn val="ctr"/>
        <c:lblOffset val="100"/>
        <c:noMultiLvlLbl val="0"/>
      </c:catAx>
      <c:valAx>
        <c:axId val="66272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total_coast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33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[Raj_Excel_dashboard.xlsx]payment_mathod_!PivotTable2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by payment method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payment_mathod_!$B$3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payment_mathod_!$A$4:$A$8</c:f>
              <c:strCache>
                <c:ptCount val="4"/>
                <c:pt idx="0">
                  <c:v>Cash</c:v>
                </c:pt>
                <c:pt idx="1">
                  <c:v>Credit Card</c:v>
                </c:pt>
                <c:pt idx="2">
                  <c:v>Debit Card</c:v>
                </c:pt>
                <c:pt idx="3">
                  <c:v>Mobile Payment</c:v>
                </c:pt>
              </c:strCache>
            </c:strRef>
          </c:cat>
          <c:val>
            <c:numRef>
              <c:f>payment_mathod_!$B$4:$B$8</c:f>
              <c:numCache>
                <c:formatCode>General</c:formatCode>
                <c:ptCount val="4"/>
                <c:pt idx="0">
                  <c:v>12852.540000000005</c:v>
                </c:pt>
                <c:pt idx="1">
                  <c:v>12528.449999999995</c:v>
                </c:pt>
                <c:pt idx="2">
                  <c:v>14408.13000000001</c:v>
                </c:pt>
                <c:pt idx="3">
                  <c:v>12849.199999999997</c:v>
                </c:pt>
              </c:numCache>
            </c:numRef>
          </c:val>
          <c:extLst>
            <c:ext xmlns:c16="http://schemas.microsoft.com/office/drawing/2014/chart" uri="{C3380CC4-5D6E-409C-BE32-E72D297353CC}">
              <c16:uniqueId val="{00000000-1F64-4831-9226-72DC5C64F4A3}"/>
            </c:ext>
          </c:extLst>
        </c:ser>
        <c:dLbls>
          <c:showLegendKey val="0"/>
          <c:showVal val="0"/>
          <c:showCatName val="0"/>
          <c:showSerName val="0"/>
          <c:showPercent val="0"/>
          <c:showBubbleSize val="0"/>
        </c:dLbls>
        <c:gapWidth val="182"/>
        <c:overlap val="-50"/>
        <c:axId val="721340143"/>
        <c:axId val="662726671"/>
      </c:barChart>
      <c:catAx>
        <c:axId val="72134014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2726671"/>
        <c:crosses val="autoZero"/>
        <c:auto val="1"/>
        <c:lblAlgn val="ctr"/>
        <c:lblOffset val="100"/>
        <c:noMultiLvlLbl val="0"/>
      </c:catAx>
      <c:valAx>
        <c:axId val="66272667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134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[Raj_Excel_dashboard.xlsx]store_type_analysis_!PivotTable3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store_type_analysis_!$B$3</c:f>
              <c:strCache>
                <c:ptCount val="1"/>
                <c:pt idx="0">
                  <c:v>Count of Transaction_ID</c:v>
                </c:pt>
              </c:strCache>
            </c:strRef>
          </c:tx>
          <c:spPr>
            <a:solidFill>
              <a:schemeClr val="accent1"/>
            </a:solidFill>
            <a:ln>
              <a:noFill/>
            </a:ln>
            <a:effectLst/>
          </c:spPr>
          <c:invertIfNegative val="0"/>
          <c:cat>
            <c:strRef>
              <c:f>store_type_analysis_!$A$4:$A$10</c:f>
              <c:strCache>
                <c:ptCount val="6"/>
                <c:pt idx="0">
                  <c:v>Convenience Store</c:v>
                </c:pt>
                <c:pt idx="1">
                  <c:v>Department Store</c:v>
                </c:pt>
                <c:pt idx="2">
                  <c:v>Pharmacy</c:v>
                </c:pt>
                <c:pt idx="3">
                  <c:v>Specialty Store</c:v>
                </c:pt>
                <c:pt idx="4">
                  <c:v>Supermarket</c:v>
                </c:pt>
                <c:pt idx="5">
                  <c:v>Warehouse Club</c:v>
                </c:pt>
              </c:strCache>
            </c:strRef>
          </c:cat>
          <c:val>
            <c:numRef>
              <c:f>store_type_analysis_!$B$4:$B$10</c:f>
              <c:numCache>
                <c:formatCode>General</c:formatCode>
                <c:ptCount val="6"/>
                <c:pt idx="0">
                  <c:v>180</c:v>
                </c:pt>
                <c:pt idx="1">
                  <c:v>178</c:v>
                </c:pt>
                <c:pt idx="2">
                  <c:v>165</c:v>
                </c:pt>
                <c:pt idx="3">
                  <c:v>164</c:v>
                </c:pt>
                <c:pt idx="4">
                  <c:v>162</c:v>
                </c:pt>
                <c:pt idx="5">
                  <c:v>150</c:v>
                </c:pt>
              </c:numCache>
            </c:numRef>
          </c:val>
          <c:extLst>
            <c:ext xmlns:c16="http://schemas.microsoft.com/office/drawing/2014/chart" uri="{C3380CC4-5D6E-409C-BE32-E72D297353CC}">
              <c16:uniqueId val="{00000000-AFF1-4F58-B779-242622F785AF}"/>
            </c:ext>
          </c:extLst>
        </c:ser>
        <c:ser>
          <c:idx val="1"/>
          <c:order val="1"/>
          <c:tx>
            <c:strRef>
              <c:f>store_type_analysis_!$C$3</c:f>
              <c:strCache>
                <c:ptCount val="1"/>
                <c:pt idx="0">
                  <c:v>Sum of Total_Cost</c:v>
                </c:pt>
              </c:strCache>
            </c:strRef>
          </c:tx>
          <c:spPr>
            <a:solidFill>
              <a:schemeClr val="accent2"/>
            </a:solidFill>
            <a:ln>
              <a:noFill/>
            </a:ln>
            <a:effectLst/>
          </c:spPr>
          <c:invertIfNegative val="0"/>
          <c:cat>
            <c:strRef>
              <c:f>store_type_analysis_!$A$4:$A$10</c:f>
              <c:strCache>
                <c:ptCount val="6"/>
                <c:pt idx="0">
                  <c:v>Convenience Store</c:v>
                </c:pt>
                <c:pt idx="1">
                  <c:v>Department Store</c:v>
                </c:pt>
                <c:pt idx="2">
                  <c:v>Pharmacy</c:v>
                </c:pt>
                <c:pt idx="3">
                  <c:v>Specialty Store</c:v>
                </c:pt>
                <c:pt idx="4">
                  <c:v>Supermarket</c:v>
                </c:pt>
                <c:pt idx="5">
                  <c:v>Warehouse Club</c:v>
                </c:pt>
              </c:strCache>
            </c:strRef>
          </c:cat>
          <c:val>
            <c:numRef>
              <c:f>store_type_analysis_!$C$4:$C$10</c:f>
              <c:numCache>
                <c:formatCode>General</c:formatCode>
                <c:ptCount val="6"/>
                <c:pt idx="0">
                  <c:v>9658.7799999999988</c:v>
                </c:pt>
                <c:pt idx="1">
                  <c:v>9386.6500000000015</c:v>
                </c:pt>
                <c:pt idx="2">
                  <c:v>8505.5799999999981</c:v>
                </c:pt>
                <c:pt idx="3">
                  <c:v>8575.8600000000024</c:v>
                </c:pt>
                <c:pt idx="4">
                  <c:v>8613.9200000000019</c:v>
                </c:pt>
                <c:pt idx="5">
                  <c:v>7897.5300000000007</c:v>
                </c:pt>
              </c:numCache>
            </c:numRef>
          </c:val>
          <c:extLst>
            <c:ext xmlns:c16="http://schemas.microsoft.com/office/drawing/2014/chart" uri="{C3380CC4-5D6E-409C-BE32-E72D297353CC}">
              <c16:uniqueId val="{00000001-AFF1-4F58-B779-242622F785AF}"/>
            </c:ext>
          </c:extLst>
        </c:ser>
        <c:dLbls>
          <c:showLegendKey val="0"/>
          <c:showVal val="0"/>
          <c:showCatName val="0"/>
          <c:showSerName val="0"/>
          <c:showPercent val="0"/>
          <c:showBubbleSize val="0"/>
        </c:dLbls>
        <c:gapWidth val="182"/>
        <c:axId val="716071519"/>
        <c:axId val="662787151"/>
      </c:barChart>
      <c:catAx>
        <c:axId val="71607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87151"/>
        <c:crosses val="autoZero"/>
        <c:auto val="1"/>
        <c:lblAlgn val="ctr"/>
        <c:lblOffset val="100"/>
        <c:noMultiLvlLbl val="0"/>
      </c:catAx>
      <c:valAx>
        <c:axId val="662787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7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[Raj_Excel_dashboard.xlsx]seasonal_sales_!PivotTable4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seasonal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seasonal_sales_!$B$3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seasonal_sales_!$A$4:$A$8</c:f>
              <c:strCache>
                <c:ptCount val="4"/>
                <c:pt idx="0">
                  <c:v>Fall</c:v>
                </c:pt>
                <c:pt idx="1">
                  <c:v>Spring</c:v>
                </c:pt>
                <c:pt idx="2">
                  <c:v>Summer</c:v>
                </c:pt>
                <c:pt idx="3">
                  <c:v>Winter</c:v>
                </c:pt>
              </c:strCache>
            </c:strRef>
          </c:cat>
          <c:val>
            <c:numRef>
              <c:f>seasonal_sales_!$B$4:$B$8</c:f>
              <c:numCache>
                <c:formatCode>General</c:formatCode>
                <c:ptCount val="4"/>
                <c:pt idx="0">
                  <c:v>13426.410000000005</c:v>
                </c:pt>
                <c:pt idx="1">
                  <c:v>12920.769999999997</c:v>
                </c:pt>
                <c:pt idx="2">
                  <c:v>11987.300000000012</c:v>
                </c:pt>
                <c:pt idx="3">
                  <c:v>14303.839999999995</c:v>
                </c:pt>
              </c:numCache>
            </c:numRef>
          </c:val>
          <c:extLst>
            <c:ext xmlns:c16="http://schemas.microsoft.com/office/drawing/2014/chart" uri="{C3380CC4-5D6E-409C-BE32-E72D297353CC}">
              <c16:uniqueId val="{00000000-4F82-42C2-B022-460EE7657602}"/>
            </c:ext>
          </c:extLst>
        </c:ser>
        <c:dLbls>
          <c:showLegendKey val="0"/>
          <c:showVal val="0"/>
          <c:showCatName val="0"/>
          <c:showSerName val="0"/>
          <c:showPercent val="0"/>
          <c:showBubbleSize val="0"/>
        </c:dLbls>
        <c:gapWidth val="100"/>
        <c:overlap val="-24"/>
        <c:axId val="741120111"/>
        <c:axId val="662745391"/>
      </c:barChart>
      <c:catAx>
        <c:axId val="741120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745391"/>
        <c:crosses val="autoZero"/>
        <c:auto val="1"/>
        <c:lblAlgn val="ctr"/>
        <c:lblOffset val="100"/>
        <c:noMultiLvlLbl val="0"/>
      </c:catAx>
      <c:valAx>
        <c:axId val="6627453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112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[Raj_Excel_dashboard.xlsx]customer_category_analysis!PivotTable5</c:name>
    <c:fmtId val="5"/>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customer_category_analysis!$B$3</c:f>
              <c:strCache>
                <c:ptCount val="1"/>
                <c:pt idx="0">
                  <c:v>Sum of Total_Cost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customer_category_analysis!$A$4:$A$12</c:f>
              <c:strCache>
                <c:ptCount val="8"/>
                <c:pt idx="0">
                  <c:v>Homemaker</c:v>
                </c:pt>
                <c:pt idx="1">
                  <c:v>Middle-Aged</c:v>
                </c:pt>
                <c:pt idx="2">
                  <c:v>Professional</c:v>
                </c:pt>
                <c:pt idx="3">
                  <c:v>Retiree</c:v>
                </c:pt>
                <c:pt idx="4">
                  <c:v>Senior Citizen</c:v>
                </c:pt>
                <c:pt idx="5">
                  <c:v>Student</c:v>
                </c:pt>
                <c:pt idx="6">
                  <c:v>Teenager</c:v>
                </c:pt>
                <c:pt idx="7">
                  <c:v>Young Adult</c:v>
                </c:pt>
              </c:strCache>
            </c:strRef>
          </c:cat>
          <c:val>
            <c:numRef>
              <c:f>customer_category_analysis!$B$4:$B$12</c:f>
              <c:numCache>
                <c:formatCode>General</c:formatCode>
                <c:ptCount val="8"/>
                <c:pt idx="0">
                  <c:v>6688.7300000000023</c:v>
                </c:pt>
                <c:pt idx="1">
                  <c:v>6511.2800000000007</c:v>
                </c:pt>
                <c:pt idx="2">
                  <c:v>6428.380000000001</c:v>
                </c:pt>
                <c:pt idx="3">
                  <c:v>6196.5300000000025</c:v>
                </c:pt>
                <c:pt idx="4">
                  <c:v>6847.9100000000053</c:v>
                </c:pt>
                <c:pt idx="5">
                  <c:v>6541.7099999999964</c:v>
                </c:pt>
                <c:pt idx="6">
                  <c:v>6803.8600000000006</c:v>
                </c:pt>
                <c:pt idx="7">
                  <c:v>6619.9199999999992</c:v>
                </c:pt>
              </c:numCache>
            </c:numRef>
          </c:val>
          <c:extLst>
            <c:ext xmlns:c16="http://schemas.microsoft.com/office/drawing/2014/chart" uri="{C3380CC4-5D6E-409C-BE32-E72D297353CC}">
              <c16:uniqueId val="{00000000-5423-4413-83F1-1B7E66A3BAC9}"/>
            </c:ext>
          </c:extLst>
        </c:ser>
        <c:ser>
          <c:idx val="1"/>
          <c:order val="1"/>
          <c:tx>
            <c:strRef>
              <c:f>customer_category_analysis!$C$3</c:f>
              <c:strCache>
                <c:ptCount val="1"/>
                <c:pt idx="0">
                  <c:v>Count of Transaction_ID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customer_category_analysis!$A$4:$A$12</c:f>
              <c:strCache>
                <c:ptCount val="8"/>
                <c:pt idx="0">
                  <c:v>Homemaker</c:v>
                </c:pt>
                <c:pt idx="1">
                  <c:v>Middle-Aged</c:v>
                </c:pt>
                <c:pt idx="2">
                  <c:v>Professional</c:v>
                </c:pt>
                <c:pt idx="3">
                  <c:v>Retiree</c:v>
                </c:pt>
                <c:pt idx="4">
                  <c:v>Senior Citizen</c:v>
                </c:pt>
                <c:pt idx="5">
                  <c:v>Student</c:v>
                </c:pt>
                <c:pt idx="6">
                  <c:v>Teenager</c:v>
                </c:pt>
                <c:pt idx="7">
                  <c:v>Young Adult</c:v>
                </c:pt>
              </c:strCache>
            </c:strRef>
          </c:cat>
          <c:val>
            <c:numRef>
              <c:f>customer_category_analysis!$C$4:$C$12</c:f>
              <c:numCache>
                <c:formatCode>General</c:formatCode>
                <c:ptCount val="8"/>
                <c:pt idx="0">
                  <c:v>130</c:v>
                </c:pt>
                <c:pt idx="1">
                  <c:v>125</c:v>
                </c:pt>
                <c:pt idx="2">
                  <c:v>114</c:v>
                </c:pt>
                <c:pt idx="3">
                  <c:v>131</c:v>
                </c:pt>
                <c:pt idx="4">
                  <c:v>128</c:v>
                </c:pt>
                <c:pt idx="5">
                  <c:v>123</c:v>
                </c:pt>
                <c:pt idx="6">
                  <c:v>131</c:v>
                </c:pt>
                <c:pt idx="7">
                  <c:v>117</c:v>
                </c:pt>
              </c:numCache>
            </c:numRef>
          </c:val>
          <c:extLst>
            <c:ext xmlns:c16="http://schemas.microsoft.com/office/drawing/2014/chart" uri="{C3380CC4-5D6E-409C-BE32-E72D297353CC}">
              <c16:uniqueId val="{00000001-5423-4413-83F1-1B7E66A3BAC9}"/>
            </c:ext>
          </c:extLst>
        </c:ser>
        <c:dLbls>
          <c:showLegendKey val="0"/>
          <c:showVal val="0"/>
          <c:showCatName val="0"/>
          <c:showSerName val="0"/>
          <c:showPercent val="0"/>
          <c:showBubbleSize val="0"/>
        </c:dLbls>
        <c:gapWidth val="315"/>
        <c:overlap val="-40"/>
        <c:axId val="716087759"/>
        <c:axId val="662822671"/>
      </c:barChart>
      <c:catAx>
        <c:axId val="7160877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2822671"/>
        <c:crosses val="autoZero"/>
        <c:auto val="1"/>
        <c:lblAlgn val="ctr"/>
        <c:lblOffset val="100"/>
        <c:noMultiLvlLbl val="0"/>
      </c:catAx>
      <c:valAx>
        <c:axId val="6628226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608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[Raj_Excel_dashboard.xlsx]promotion!PivotTable6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promotion!$B$3</c:f>
              <c:strCache>
                <c:ptCount val="1"/>
                <c:pt idx="0">
                  <c:v>Sum of Total_Cost</c:v>
                </c:pt>
              </c:strCache>
            </c:strRef>
          </c:tx>
          <c:spPr>
            <a:solidFill>
              <a:schemeClr val="accent1"/>
            </a:solidFill>
            <a:ln>
              <a:noFill/>
            </a:ln>
            <a:effectLst/>
          </c:spPr>
          <c:invertIfNegative val="0"/>
          <c:cat>
            <c:multiLvlStrRef>
              <c:f>promotion!$A$4:$A$22</c:f>
              <c:multiLvlStrCache>
                <c:ptCount val="15"/>
                <c:lvl>
                  <c:pt idx="0">
                    <c:v>2020</c:v>
                  </c:pt>
                  <c:pt idx="1">
                    <c:v>2021</c:v>
                  </c:pt>
                  <c:pt idx="2">
                    <c:v>2022</c:v>
                  </c:pt>
                  <c:pt idx="3">
                    <c:v>2023</c:v>
                  </c:pt>
                  <c:pt idx="4">
                    <c:v>2024</c:v>
                  </c:pt>
                  <c:pt idx="5">
                    <c:v>2020</c:v>
                  </c:pt>
                  <c:pt idx="6">
                    <c:v>2021</c:v>
                  </c:pt>
                  <c:pt idx="7">
                    <c:v>2022</c:v>
                  </c:pt>
                  <c:pt idx="8">
                    <c:v>2023</c:v>
                  </c:pt>
                  <c:pt idx="9">
                    <c:v>2024</c:v>
                  </c:pt>
                  <c:pt idx="10">
                    <c:v>2020</c:v>
                  </c:pt>
                  <c:pt idx="11">
                    <c:v>2021</c:v>
                  </c:pt>
                  <c:pt idx="12">
                    <c:v>2022</c:v>
                  </c:pt>
                  <c:pt idx="13">
                    <c:v>2023</c:v>
                  </c:pt>
                  <c:pt idx="14">
                    <c:v>2024</c:v>
                  </c:pt>
                </c:lvl>
                <c:lvl>
                  <c:pt idx="0">
                    <c:v>BOGO (Buy One Get One)</c:v>
                  </c:pt>
                  <c:pt idx="5">
                    <c:v>Discount on Selected Items</c:v>
                  </c:pt>
                  <c:pt idx="10">
                    <c:v>None</c:v>
                  </c:pt>
                </c:lvl>
              </c:multiLvlStrCache>
            </c:multiLvlStrRef>
          </c:cat>
          <c:val>
            <c:numRef>
              <c:f>promotion!$B$4:$B$22</c:f>
              <c:numCache>
                <c:formatCode>General</c:formatCode>
                <c:ptCount val="15"/>
                <c:pt idx="0">
                  <c:v>3984.2499999999991</c:v>
                </c:pt>
                <c:pt idx="1">
                  <c:v>3603.7500000000005</c:v>
                </c:pt>
                <c:pt idx="2">
                  <c:v>3547.5799999999995</c:v>
                </c:pt>
                <c:pt idx="3">
                  <c:v>4370.66</c:v>
                </c:pt>
                <c:pt idx="4">
                  <c:v>1795.6200000000006</c:v>
                </c:pt>
                <c:pt idx="5">
                  <c:v>3799.9700000000012</c:v>
                </c:pt>
                <c:pt idx="6">
                  <c:v>4390.7400000000016</c:v>
                </c:pt>
                <c:pt idx="7">
                  <c:v>3528.4899999999989</c:v>
                </c:pt>
                <c:pt idx="8">
                  <c:v>3147.5199999999995</c:v>
                </c:pt>
                <c:pt idx="9">
                  <c:v>1510.7599999999998</c:v>
                </c:pt>
                <c:pt idx="10">
                  <c:v>5029.0400000000009</c:v>
                </c:pt>
                <c:pt idx="11">
                  <c:v>4371.0500000000011</c:v>
                </c:pt>
                <c:pt idx="12">
                  <c:v>3960.5599999999981</c:v>
                </c:pt>
                <c:pt idx="13">
                  <c:v>4167.0400000000009</c:v>
                </c:pt>
                <c:pt idx="14">
                  <c:v>1431.29</c:v>
                </c:pt>
              </c:numCache>
            </c:numRef>
          </c:val>
          <c:extLst>
            <c:ext xmlns:c16="http://schemas.microsoft.com/office/drawing/2014/chart" uri="{C3380CC4-5D6E-409C-BE32-E72D297353CC}">
              <c16:uniqueId val="{00000000-D7A9-4694-A728-D58B65627194}"/>
            </c:ext>
          </c:extLst>
        </c:ser>
        <c:ser>
          <c:idx val="1"/>
          <c:order val="1"/>
          <c:tx>
            <c:strRef>
              <c:f>promotion!$C$3</c:f>
              <c:strCache>
                <c:ptCount val="1"/>
                <c:pt idx="0">
                  <c:v>Sum of Transaction_ID</c:v>
                </c:pt>
              </c:strCache>
            </c:strRef>
          </c:tx>
          <c:spPr>
            <a:solidFill>
              <a:schemeClr val="accent2"/>
            </a:solidFill>
            <a:ln>
              <a:noFill/>
            </a:ln>
            <a:effectLst/>
          </c:spPr>
          <c:invertIfNegative val="0"/>
          <c:cat>
            <c:multiLvlStrRef>
              <c:f>promotion!$A$4:$A$22</c:f>
              <c:multiLvlStrCache>
                <c:ptCount val="15"/>
                <c:lvl>
                  <c:pt idx="0">
                    <c:v>2020</c:v>
                  </c:pt>
                  <c:pt idx="1">
                    <c:v>2021</c:v>
                  </c:pt>
                  <c:pt idx="2">
                    <c:v>2022</c:v>
                  </c:pt>
                  <c:pt idx="3">
                    <c:v>2023</c:v>
                  </c:pt>
                  <c:pt idx="4">
                    <c:v>2024</c:v>
                  </c:pt>
                  <c:pt idx="5">
                    <c:v>2020</c:v>
                  </c:pt>
                  <c:pt idx="6">
                    <c:v>2021</c:v>
                  </c:pt>
                  <c:pt idx="7">
                    <c:v>2022</c:v>
                  </c:pt>
                  <c:pt idx="8">
                    <c:v>2023</c:v>
                  </c:pt>
                  <c:pt idx="9">
                    <c:v>2024</c:v>
                  </c:pt>
                  <c:pt idx="10">
                    <c:v>2020</c:v>
                  </c:pt>
                  <c:pt idx="11">
                    <c:v>2021</c:v>
                  </c:pt>
                  <c:pt idx="12">
                    <c:v>2022</c:v>
                  </c:pt>
                  <c:pt idx="13">
                    <c:v>2023</c:v>
                  </c:pt>
                  <c:pt idx="14">
                    <c:v>2024</c:v>
                  </c:pt>
                </c:lvl>
                <c:lvl>
                  <c:pt idx="0">
                    <c:v>BOGO (Buy One Get One)</c:v>
                  </c:pt>
                  <c:pt idx="5">
                    <c:v>Discount on Selected Items</c:v>
                  </c:pt>
                  <c:pt idx="10">
                    <c:v>None</c:v>
                  </c:pt>
                </c:lvl>
              </c:multiLvlStrCache>
            </c:multiLvlStrRef>
          </c:cat>
          <c:val>
            <c:numRef>
              <c:f>promotion!$C$4:$C$22</c:f>
              <c:numCache>
                <c:formatCode>General</c:formatCode>
                <c:ptCount val="15"/>
                <c:pt idx="0">
                  <c:v>78000042908</c:v>
                </c:pt>
                <c:pt idx="1">
                  <c:v>75000035998</c:v>
                </c:pt>
                <c:pt idx="2">
                  <c:v>67000035057</c:v>
                </c:pt>
                <c:pt idx="3">
                  <c:v>75000036927</c:v>
                </c:pt>
                <c:pt idx="4">
                  <c:v>34000016073</c:v>
                </c:pt>
                <c:pt idx="5">
                  <c:v>80000038811</c:v>
                </c:pt>
                <c:pt idx="6">
                  <c:v>79000041308</c:v>
                </c:pt>
                <c:pt idx="7">
                  <c:v>69000036374</c:v>
                </c:pt>
                <c:pt idx="8">
                  <c:v>61000025088</c:v>
                </c:pt>
                <c:pt idx="9">
                  <c:v>24000014673</c:v>
                </c:pt>
                <c:pt idx="10">
                  <c:v>87000041930</c:v>
                </c:pt>
                <c:pt idx="11">
                  <c:v>84000039252</c:v>
                </c:pt>
                <c:pt idx="12">
                  <c:v>73000035649</c:v>
                </c:pt>
                <c:pt idx="13">
                  <c:v>84000043741</c:v>
                </c:pt>
                <c:pt idx="14">
                  <c:v>29000014712</c:v>
                </c:pt>
              </c:numCache>
            </c:numRef>
          </c:val>
          <c:extLst>
            <c:ext xmlns:c16="http://schemas.microsoft.com/office/drawing/2014/chart" uri="{C3380CC4-5D6E-409C-BE32-E72D297353CC}">
              <c16:uniqueId val="{00000001-D7A9-4694-A728-D58B65627194}"/>
            </c:ext>
          </c:extLst>
        </c:ser>
        <c:dLbls>
          <c:showLegendKey val="0"/>
          <c:showVal val="0"/>
          <c:showCatName val="0"/>
          <c:showSerName val="0"/>
          <c:showPercent val="0"/>
          <c:showBubbleSize val="0"/>
        </c:dLbls>
        <c:gapWidth val="219"/>
        <c:overlap val="-27"/>
        <c:axId val="2132761648"/>
        <c:axId val="18388656"/>
      </c:barChart>
      <c:catAx>
        <c:axId val="213276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656"/>
        <c:crosses val="autoZero"/>
        <c:auto val="1"/>
        <c:lblAlgn val="ctr"/>
        <c:lblOffset val="100"/>
        <c:noMultiLvlLbl val="0"/>
      </c:catAx>
      <c:valAx>
        <c:axId val="1838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76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[Raj_Excel_dashboard.xlsx]sales_by_city!PivotTable7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sales_by_city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sales_by_city!$B$3</c:f>
              <c:strCache>
                <c:ptCount val="1"/>
                <c:pt idx="0">
                  <c:v>Total</c:v>
                </c:pt>
              </c:strCache>
            </c:strRef>
          </c:tx>
          <c:spPr>
            <a:solidFill>
              <a:schemeClr val="accent1"/>
            </a:solidFill>
            <a:ln>
              <a:noFill/>
            </a:ln>
            <a:effectLst/>
          </c:spPr>
          <c:invertIfNegative val="0"/>
          <c:cat>
            <c:strRef>
              <c:f>sales_by_city!$A$4:$A$14</c:f>
              <c:strCache>
                <c:ptCount val="10"/>
                <c:pt idx="0">
                  <c:v>Atlanta</c:v>
                </c:pt>
                <c:pt idx="1">
                  <c:v>Boston</c:v>
                </c:pt>
                <c:pt idx="2">
                  <c:v>Chicago</c:v>
                </c:pt>
                <c:pt idx="3">
                  <c:v>Dallas</c:v>
                </c:pt>
                <c:pt idx="4">
                  <c:v>Houston</c:v>
                </c:pt>
                <c:pt idx="5">
                  <c:v>Los Angeles</c:v>
                </c:pt>
                <c:pt idx="6">
                  <c:v>Miami</c:v>
                </c:pt>
                <c:pt idx="7">
                  <c:v>New York</c:v>
                </c:pt>
                <c:pt idx="8">
                  <c:v>San Francisco</c:v>
                </c:pt>
                <c:pt idx="9">
                  <c:v>Seattle</c:v>
                </c:pt>
              </c:strCache>
            </c:strRef>
          </c:cat>
          <c:val>
            <c:numRef>
              <c:f>sales_by_city!$B$4:$B$14</c:f>
              <c:numCache>
                <c:formatCode>General</c:formatCode>
                <c:ptCount val="10"/>
                <c:pt idx="0">
                  <c:v>4497.5300000000007</c:v>
                </c:pt>
                <c:pt idx="1">
                  <c:v>4775.4300000000012</c:v>
                </c:pt>
                <c:pt idx="2">
                  <c:v>5554.1699999999992</c:v>
                </c:pt>
                <c:pt idx="3">
                  <c:v>5160.7700000000023</c:v>
                </c:pt>
                <c:pt idx="4">
                  <c:v>5025.6699999999983</c:v>
                </c:pt>
                <c:pt idx="5">
                  <c:v>5551.829999999999</c:v>
                </c:pt>
                <c:pt idx="6">
                  <c:v>6008.34</c:v>
                </c:pt>
                <c:pt idx="7">
                  <c:v>3882.62</c:v>
                </c:pt>
                <c:pt idx="8">
                  <c:v>6986.5200000000023</c:v>
                </c:pt>
                <c:pt idx="9">
                  <c:v>5195.4400000000014</c:v>
                </c:pt>
              </c:numCache>
            </c:numRef>
          </c:val>
          <c:extLst>
            <c:ext xmlns:c16="http://schemas.microsoft.com/office/drawing/2014/chart" uri="{C3380CC4-5D6E-409C-BE32-E72D297353CC}">
              <c16:uniqueId val="{00000000-8091-4A6F-AD7A-F9E1362E7321}"/>
            </c:ext>
          </c:extLst>
        </c:ser>
        <c:dLbls>
          <c:showLegendKey val="0"/>
          <c:showVal val="0"/>
          <c:showCatName val="0"/>
          <c:showSerName val="0"/>
          <c:showPercent val="0"/>
          <c:showBubbleSize val="0"/>
        </c:dLbls>
        <c:gapWidth val="219"/>
        <c:overlap val="-27"/>
        <c:axId val="721331791"/>
        <c:axId val="662721871"/>
      </c:barChart>
      <c:catAx>
        <c:axId val="72133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21871"/>
        <c:crosses val="autoZero"/>
        <c:auto val="1"/>
        <c:lblAlgn val="ctr"/>
        <c:lblOffset val="100"/>
        <c:noMultiLvlLbl val="0"/>
      </c:catAx>
      <c:valAx>
        <c:axId val="66272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total_coast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33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[Raj_Excel_dashboard.xlsx]payment_mathod_!PivotTable2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by payment method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payment_mathod_!$B$3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payment_mathod_!$A$4:$A$8</c:f>
              <c:strCache>
                <c:ptCount val="4"/>
                <c:pt idx="0">
                  <c:v>Cash</c:v>
                </c:pt>
                <c:pt idx="1">
                  <c:v>Credit Card</c:v>
                </c:pt>
                <c:pt idx="2">
                  <c:v>Debit Card</c:v>
                </c:pt>
                <c:pt idx="3">
                  <c:v>Mobile Payment</c:v>
                </c:pt>
              </c:strCache>
            </c:strRef>
          </c:cat>
          <c:val>
            <c:numRef>
              <c:f>payment_mathod_!$B$4:$B$8</c:f>
              <c:numCache>
                <c:formatCode>General</c:formatCode>
                <c:ptCount val="4"/>
                <c:pt idx="0">
                  <c:v>12852.540000000005</c:v>
                </c:pt>
                <c:pt idx="1">
                  <c:v>12528.449999999995</c:v>
                </c:pt>
                <c:pt idx="2">
                  <c:v>14408.13000000001</c:v>
                </c:pt>
                <c:pt idx="3">
                  <c:v>12849.199999999997</c:v>
                </c:pt>
              </c:numCache>
            </c:numRef>
          </c:val>
          <c:extLst>
            <c:ext xmlns:c16="http://schemas.microsoft.com/office/drawing/2014/chart" uri="{C3380CC4-5D6E-409C-BE32-E72D297353CC}">
              <c16:uniqueId val="{00000000-5C37-4351-86F2-7E71C5E57950}"/>
            </c:ext>
          </c:extLst>
        </c:ser>
        <c:dLbls>
          <c:showLegendKey val="0"/>
          <c:showVal val="0"/>
          <c:showCatName val="0"/>
          <c:showSerName val="0"/>
          <c:showPercent val="0"/>
          <c:showBubbleSize val="0"/>
        </c:dLbls>
        <c:gapWidth val="182"/>
        <c:overlap val="-50"/>
        <c:axId val="721340143"/>
        <c:axId val="662726671"/>
      </c:barChart>
      <c:catAx>
        <c:axId val="72134014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2726671"/>
        <c:crosses val="autoZero"/>
        <c:auto val="1"/>
        <c:lblAlgn val="ctr"/>
        <c:lblOffset val="100"/>
        <c:noMultiLvlLbl val="0"/>
      </c:catAx>
      <c:valAx>
        <c:axId val="66272667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134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[Raj_Excel_dashboard.xlsx]store_type_analysis_!PivotTable3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store_type_analysis_!$B$3</c:f>
              <c:strCache>
                <c:ptCount val="1"/>
                <c:pt idx="0">
                  <c:v>Count of Transaction_ID</c:v>
                </c:pt>
              </c:strCache>
            </c:strRef>
          </c:tx>
          <c:spPr>
            <a:solidFill>
              <a:schemeClr val="accent1"/>
            </a:solidFill>
            <a:ln>
              <a:noFill/>
            </a:ln>
            <a:effectLst/>
          </c:spPr>
          <c:invertIfNegative val="0"/>
          <c:cat>
            <c:strRef>
              <c:f>store_type_analysis_!$A$4:$A$10</c:f>
              <c:strCache>
                <c:ptCount val="6"/>
                <c:pt idx="0">
                  <c:v>Convenience Store</c:v>
                </c:pt>
                <c:pt idx="1">
                  <c:v>Department Store</c:v>
                </c:pt>
                <c:pt idx="2">
                  <c:v>Pharmacy</c:v>
                </c:pt>
                <c:pt idx="3">
                  <c:v>Specialty Store</c:v>
                </c:pt>
                <c:pt idx="4">
                  <c:v>Supermarket</c:v>
                </c:pt>
                <c:pt idx="5">
                  <c:v>Warehouse Club</c:v>
                </c:pt>
              </c:strCache>
            </c:strRef>
          </c:cat>
          <c:val>
            <c:numRef>
              <c:f>store_type_analysis_!$B$4:$B$10</c:f>
              <c:numCache>
                <c:formatCode>General</c:formatCode>
                <c:ptCount val="6"/>
                <c:pt idx="0">
                  <c:v>180</c:v>
                </c:pt>
                <c:pt idx="1">
                  <c:v>178</c:v>
                </c:pt>
                <c:pt idx="2">
                  <c:v>165</c:v>
                </c:pt>
                <c:pt idx="3">
                  <c:v>164</c:v>
                </c:pt>
                <c:pt idx="4">
                  <c:v>162</c:v>
                </c:pt>
                <c:pt idx="5">
                  <c:v>150</c:v>
                </c:pt>
              </c:numCache>
            </c:numRef>
          </c:val>
          <c:extLst>
            <c:ext xmlns:c16="http://schemas.microsoft.com/office/drawing/2014/chart" uri="{C3380CC4-5D6E-409C-BE32-E72D297353CC}">
              <c16:uniqueId val="{00000000-72C0-4022-9802-E4D394C002A3}"/>
            </c:ext>
          </c:extLst>
        </c:ser>
        <c:ser>
          <c:idx val="1"/>
          <c:order val="1"/>
          <c:tx>
            <c:strRef>
              <c:f>store_type_analysis_!$C$3</c:f>
              <c:strCache>
                <c:ptCount val="1"/>
                <c:pt idx="0">
                  <c:v>Sum of Total_Cost</c:v>
                </c:pt>
              </c:strCache>
            </c:strRef>
          </c:tx>
          <c:spPr>
            <a:solidFill>
              <a:schemeClr val="accent2"/>
            </a:solidFill>
            <a:ln>
              <a:noFill/>
            </a:ln>
            <a:effectLst/>
          </c:spPr>
          <c:invertIfNegative val="0"/>
          <c:cat>
            <c:strRef>
              <c:f>store_type_analysis_!$A$4:$A$10</c:f>
              <c:strCache>
                <c:ptCount val="6"/>
                <c:pt idx="0">
                  <c:v>Convenience Store</c:v>
                </c:pt>
                <c:pt idx="1">
                  <c:v>Department Store</c:v>
                </c:pt>
                <c:pt idx="2">
                  <c:v>Pharmacy</c:v>
                </c:pt>
                <c:pt idx="3">
                  <c:v>Specialty Store</c:v>
                </c:pt>
                <c:pt idx="4">
                  <c:v>Supermarket</c:v>
                </c:pt>
                <c:pt idx="5">
                  <c:v>Warehouse Club</c:v>
                </c:pt>
              </c:strCache>
            </c:strRef>
          </c:cat>
          <c:val>
            <c:numRef>
              <c:f>store_type_analysis_!$C$4:$C$10</c:f>
              <c:numCache>
                <c:formatCode>General</c:formatCode>
                <c:ptCount val="6"/>
                <c:pt idx="0">
                  <c:v>9658.7799999999988</c:v>
                </c:pt>
                <c:pt idx="1">
                  <c:v>9386.6500000000015</c:v>
                </c:pt>
                <c:pt idx="2">
                  <c:v>8505.5799999999981</c:v>
                </c:pt>
                <c:pt idx="3">
                  <c:v>8575.8600000000024</c:v>
                </c:pt>
                <c:pt idx="4">
                  <c:v>8613.9200000000019</c:v>
                </c:pt>
                <c:pt idx="5">
                  <c:v>7897.5300000000007</c:v>
                </c:pt>
              </c:numCache>
            </c:numRef>
          </c:val>
          <c:extLst>
            <c:ext xmlns:c16="http://schemas.microsoft.com/office/drawing/2014/chart" uri="{C3380CC4-5D6E-409C-BE32-E72D297353CC}">
              <c16:uniqueId val="{00000001-72C0-4022-9802-E4D394C002A3}"/>
            </c:ext>
          </c:extLst>
        </c:ser>
        <c:dLbls>
          <c:showLegendKey val="0"/>
          <c:showVal val="0"/>
          <c:showCatName val="0"/>
          <c:showSerName val="0"/>
          <c:showPercent val="0"/>
          <c:showBubbleSize val="0"/>
        </c:dLbls>
        <c:gapWidth val="182"/>
        <c:axId val="716071519"/>
        <c:axId val="662787151"/>
      </c:barChart>
      <c:catAx>
        <c:axId val="71607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87151"/>
        <c:crosses val="autoZero"/>
        <c:auto val="1"/>
        <c:lblAlgn val="ctr"/>
        <c:lblOffset val="100"/>
        <c:noMultiLvlLbl val="0"/>
      </c:catAx>
      <c:valAx>
        <c:axId val="662787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7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[Raj_Excel_dashboard.xlsx]seasonal_sales_!PivotTable4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seasonal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seasonal_sales_!$B$3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seasonal_sales_!$A$4:$A$8</c:f>
              <c:strCache>
                <c:ptCount val="4"/>
                <c:pt idx="0">
                  <c:v>Fall</c:v>
                </c:pt>
                <c:pt idx="1">
                  <c:v>Spring</c:v>
                </c:pt>
                <c:pt idx="2">
                  <c:v>Summer</c:v>
                </c:pt>
                <c:pt idx="3">
                  <c:v>Winter</c:v>
                </c:pt>
              </c:strCache>
            </c:strRef>
          </c:cat>
          <c:val>
            <c:numRef>
              <c:f>seasonal_sales_!$B$4:$B$8</c:f>
              <c:numCache>
                <c:formatCode>General</c:formatCode>
                <c:ptCount val="4"/>
                <c:pt idx="0">
                  <c:v>13426.410000000005</c:v>
                </c:pt>
                <c:pt idx="1">
                  <c:v>12920.769999999997</c:v>
                </c:pt>
                <c:pt idx="2">
                  <c:v>11987.300000000012</c:v>
                </c:pt>
                <c:pt idx="3">
                  <c:v>14303.839999999995</c:v>
                </c:pt>
              </c:numCache>
            </c:numRef>
          </c:val>
          <c:extLst>
            <c:ext xmlns:c16="http://schemas.microsoft.com/office/drawing/2014/chart" uri="{C3380CC4-5D6E-409C-BE32-E72D297353CC}">
              <c16:uniqueId val="{00000000-158B-468D-A5B0-FB7FA384BB6F}"/>
            </c:ext>
          </c:extLst>
        </c:ser>
        <c:dLbls>
          <c:showLegendKey val="0"/>
          <c:showVal val="0"/>
          <c:showCatName val="0"/>
          <c:showSerName val="0"/>
          <c:showPercent val="0"/>
          <c:showBubbleSize val="0"/>
        </c:dLbls>
        <c:gapWidth val="100"/>
        <c:overlap val="-24"/>
        <c:axId val="741120111"/>
        <c:axId val="662745391"/>
      </c:barChart>
      <c:catAx>
        <c:axId val="741120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745391"/>
        <c:crosses val="autoZero"/>
        <c:auto val="1"/>
        <c:lblAlgn val="ctr"/>
        <c:lblOffset val="100"/>
        <c:noMultiLvlLbl val="0"/>
      </c:catAx>
      <c:valAx>
        <c:axId val="6627453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112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[Raj_Excel_dashboard.xlsx]customer_category_analysis!PivotTable5</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customer_category_analysis!$B$3</c:f>
              <c:strCache>
                <c:ptCount val="1"/>
                <c:pt idx="0">
                  <c:v>Sum of Total_Cost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customer_category_analysis!$A$4:$A$12</c:f>
              <c:strCache>
                <c:ptCount val="8"/>
                <c:pt idx="0">
                  <c:v>Homemaker</c:v>
                </c:pt>
                <c:pt idx="1">
                  <c:v>Middle-Aged</c:v>
                </c:pt>
                <c:pt idx="2">
                  <c:v>Professional</c:v>
                </c:pt>
                <c:pt idx="3">
                  <c:v>Retiree</c:v>
                </c:pt>
                <c:pt idx="4">
                  <c:v>Senior Citizen</c:v>
                </c:pt>
                <c:pt idx="5">
                  <c:v>Student</c:v>
                </c:pt>
                <c:pt idx="6">
                  <c:v>Teenager</c:v>
                </c:pt>
                <c:pt idx="7">
                  <c:v>Young Adult</c:v>
                </c:pt>
              </c:strCache>
            </c:strRef>
          </c:cat>
          <c:val>
            <c:numRef>
              <c:f>customer_category_analysis!$B$4:$B$12</c:f>
              <c:numCache>
                <c:formatCode>General</c:formatCode>
                <c:ptCount val="8"/>
                <c:pt idx="0">
                  <c:v>6688.7300000000023</c:v>
                </c:pt>
                <c:pt idx="1">
                  <c:v>6511.2800000000007</c:v>
                </c:pt>
                <c:pt idx="2">
                  <c:v>6428.380000000001</c:v>
                </c:pt>
                <c:pt idx="3">
                  <c:v>6196.5300000000025</c:v>
                </c:pt>
                <c:pt idx="4">
                  <c:v>6847.9100000000053</c:v>
                </c:pt>
                <c:pt idx="5">
                  <c:v>6541.7099999999964</c:v>
                </c:pt>
                <c:pt idx="6">
                  <c:v>6803.8600000000006</c:v>
                </c:pt>
                <c:pt idx="7">
                  <c:v>6619.9199999999992</c:v>
                </c:pt>
              </c:numCache>
            </c:numRef>
          </c:val>
          <c:extLst>
            <c:ext xmlns:c16="http://schemas.microsoft.com/office/drawing/2014/chart" uri="{C3380CC4-5D6E-409C-BE32-E72D297353CC}">
              <c16:uniqueId val="{00000000-D611-4FAB-982B-F55EBF461772}"/>
            </c:ext>
          </c:extLst>
        </c:ser>
        <c:ser>
          <c:idx val="1"/>
          <c:order val="1"/>
          <c:tx>
            <c:strRef>
              <c:f>customer_category_analysis!$C$3</c:f>
              <c:strCache>
                <c:ptCount val="1"/>
                <c:pt idx="0">
                  <c:v>Count of Transaction_ID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customer_category_analysis!$A$4:$A$12</c:f>
              <c:strCache>
                <c:ptCount val="8"/>
                <c:pt idx="0">
                  <c:v>Homemaker</c:v>
                </c:pt>
                <c:pt idx="1">
                  <c:v>Middle-Aged</c:v>
                </c:pt>
                <c:pt idx="2">
                  <c:v>Professional</c:v>
                </c:pt>
                <c:pt idx="3">
                  <c:v>Retiree</c:v>
                </c:pt>
                <c:pt idx="4">
                  <c:v>Senior Citizen</c:v>
                </c:pt>
                <c:pt idx="5">
                  <c:v>Student</c:v>
                </c:pt>
                <c:pt idx="6">
                  <c:v>Teenager</c:v>
                </c:pt>
                <c:pt idx="7">
                  <c:v>Young Adult</c:v>
                </c:pt>
              </c:strCache>
            </c:strRef>
          </c:cat>
          <c:val>
            <c:numRef>
              <c:f>customer_category_analysis!$C$4:$C$12</c:f>
              <c:numCache>
                <c:formatCode>General</c:formatCode>
                <c:ptCount val="8"/>
                <c:pt idx="0">
                  <c:v>130</c:v>
                </c:pt>
                <c:pt idx="1">
                  <c:v>125</c:v>
                </c:pt>
                <c:pt idx="2">
                  <c:v>114</c:v>
                </c:pt>
                <c:pt idx="3">
                  <c:v>131</c:v>
                </c:pt>
                <c:pt idx="4">
                  <c:v>128</c:v>
                </c:pt>
                <c:pt idx="5">
                  <c:v>123</c:v>
                </c:pt>
                <c:pt idx="6">
                  <c:v>131</c:v>
                </c:pt>
                <c:pt idx="7">
                  <c:v>117</c:v>
                </c:pt>
              </c:numCache>
            </c:numRef>
          </c:val>
          <c:extLst>
            <c:ext xmlns:c16="http://schemas.microsoft.com/office/drawing/2014/chart" uri="{C3380CC4-5D6E-409C-BE32-E72D297353CC}">
              <c16:uniqueId val="{00000001-D611-4FAB-982B-F55EBF461772}"/>
            </c:ext>
          </c:extLst>
        </c:ser>
        <c:dLbls>
          <c:showLegendKey val="0"/>
          <c:showVal val="0"/>
          <c:showCatName val="0"/>
          <c:showSerName val="0"/>
          <c:showPercent val="0"/>
          <c:showBubbleSize val="0"/>
        </c:dLbls>
        <c:gapWidth val="315"/>
        <c:overlap val="-40"/>
        <c:axId val="716087759"/>
        <c:axId val="662822671"/>
      </c:barChart>
      <c:catAx>
        <c:axId val="7160877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2822671"/>
        <c:crosses val="autoZero"/>
        <c:auto val="1"/>
        <c:lblAlgn val="ctr"/>
        <c:lblOffset val="100"/>
        <c:noMultiLvlLbl val="0"/>
      </c:catAx>
      <c:valAx>
        <c:axId val="6628226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608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[Raj_Excel_dashboard.xlsx]promotion!PivotTable6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promotion!$B$3</c:f>
              <c:strCache>
                <c:ptCount val="1"/>
                <c:pt idx="0">
                  <c:v>Sum of Total_Cost</c:v>
                </c:pt>
              </c:strCache>
            </c:strRef>
          </c:tx>
          <c:spPr>
            <a:solidFill>
              <a:schemeClr val="accent1"/>
            </a:solidFill>
            <a:ln>
              <a:noFill/>
            </a:ln>
            <a:effectLst/>
          </c:spPr>
          <c:invertIfNegative val="0"/>
          <c:cat>
            <c:multiLvlStrRef>
              <c:f>promotion!$A$4:$A$22</c:f>
              <c:multiLvlStrCache>
                <c:ptCount val="15"/>
                <c:lvl>
                  <c:pt idx="0">
                    <c:v>2020</c:v>
                  </c:pt>
                  <c:pt idx="1">
                    <c:v>2021</c:v>
                  </c:pt>
                  <c:pt idx="2">
                    <c:v>2022</c:v>
                  </c:pt>
                  <c:pt idx="3">
                    <c:v>2023</c:v>
                  </c:pt>
                  <c:pt idx="4">
                    <c:v>2024</c:v>
                  </c:pt>
                  <c:pt idx="5">
                    <c:v>2020</c:v>
                  </c:pt>
                  <c:pt idx="6">
                    <c:v>2021</c:v>
                  </c:pt>
                  <c:pt idx="7">
                    <c:v>2022</c:v>
                  </c:pt>
                  <c:pt idx="8">
                    <c:v>2023</c:v>
                  </c:pt>
                  <c:pt idx="9">
                    <c:v>2024</c:v>
                  </c:pt>
                  <c:pt idx="10">
                    <c:v>2020</c:v>
                  </c:pt>
                  <c:pt idx="11">
                    <c:v>2021</c:v>
                  </c:pt>
                  <c:pt idx="12">
                    <c:v>2022</c:v>
                  </c:pt>
                  <c:pt idx="13">
                    <c:v>2023</c:v>
                  </c:pt>
                  <c:pt idx="14">
                    <c:v>2024</c:v>
                  </c:pt>
                </c:lvl>
                <c:lvl>
                  <c:pt idx="0">
                    <c:v>BOGO (Buy One Get One)</c:v>
                  </c:pt>
                  <c:pt idx="5">
                    <c:v>Discount on Selected Items</c:v>
                  </c:pt>
                  <c:pt idx="10">
                    <c:v>None</c:v>
                  </c:pt>
                </c:lvl>
              </c:multiLvlStrCache>
            </c:multiLvlStrRef>
          </c:cat>
          <c:val>
            <c:numRef>
              <c:f>promotion!$B$4:$B$22</c:f>
              <c:numCache>
                <c:formatCode>General</c:formatCode>
                <c:ptCount val="15"/>
                <c:pt idx="0">
                  <c:v>3984.2499999999991</c:v>
                </c:pt>
                <c:pt idx="1">
                  <c:v>3603.7500000000005</c:v>
                </c:pt>
                <c:pt idx="2">
                  <c:v>3547.5799999999995</c:v>
                </c:pt>
                <c:pt idx="3">
                  <c:v>4370.66</c:v>
                </c:pt>
                <c:pt idx="4">
                  <c:v>1795.6200000000006</c:v>
                </c:pt>
                <c:pt idx="5">
                  <c:v>3799.9700000000012</c:v>
                </c:pt>
                <c:pt idx="6">
                  <c:v>4390.7400000000016</c:v>
                </c:pt>
                <c:pt idx="7">
                  <c:v>3528.4899999999989</c:v>
                </c:pt>
                <c:pt idx="8">
                  <c:v>3147.5199999999995</c:v>
                </c:pt>
                <c:pt idx="9">
                  <c:v>1510.7599999999998</c:v>
                </c:pt>
                <c:pt idx="10">
                  <c:v>5029.0400000000009</c:v>
                </c:pt>
                <c:pt idx="11">
                  <c:v>4371.0500000000011</c:v>
                </c:pt>
                <c:pt idx="12">
                  <c:v>3960.5599999999981</c:v>
                </c:pt>
                <c:pt idx="13">
                  <c:v>4167.0400000000009</c:v>
                </c:pt>
                <c:pt idx="14">
                  <c:v>1431.29</c:v>
                </c:pt>
              </c:numCache>
            </c:numRef>
          </c:val>
          <c:extLst>
            <c:ext xmlns:c16="http://schemas.microsoft.com/office/drawing/2014/chart" uri="{C3380CC4-5D6E-409C-BE32-E72D297353CC}">
              <c16:uniqueId val="{00000000-1877-4E94-8B5D-CFF640526B8C}"/>
            </c:ext>
          </c:extLst>
        </c:ser>
        <c:ser>
          <c:idx val="1"/>
          <c:order val="1"/>
          <c:tx>
            <c:strRef>
              <c:f>promotion!$C$3</c:f>
              <c:strCache>
                <c:ptCount val="1"/>
                <c:pt idx="0">
                  <c:v>Sum of Transaction_ID</c:v>
                </c:pt>
              </c:strCache>
            </c:strRef>
          </c:tx>
          <c:spPr>
            <a:solidFill>
              <a:schemeClr val="accent2"/>
            </a:solidFill>
            <a:ln>
              <a:noFill/>
            </a:ln>
            <a:effectLst/>
          </c:spPr>
          <c:invertIfNegative val="0"/>
          <c:cat>
            <c:multiLvlStrRef>
              <c:f>promotion!$A$4:$A$22</c:f>
              <c:multiLvlStrCache>
                <c:ptCount val="15"/>
                <c:lvl>
                  <c:pt idx="0">
                    <c:v>2020</c:v>
                  </c:pt>
                  <c:pt idx="1">
                    <c:v>2021</c:v>
                  </c:pt>
                  <c:pt idx="2">
                    <c:v>2022</c:v>
                  </c:pt>
                  <c:pt idx="3">
                    <c:v>2023</c:v>
                  </c:pt>
                  <c:pt idx="4">
                    <c:v>2024</c:v>
                  </c:pt>
                  <c:pt idx="5">
                    <c:v>2020</c:v>
                  </c:pt>
                  <c:pt idx="6">
                    <c:v>2021</c:v>
                  </c:pt>
                  <c:pt idx="7">
                    <c:v>2022</c:v>
                  </c:pt>
                  <c:pt idx="8">
                    <c:v>2023</c:v>
                  </c:pt>
                  <c:pt idx="9">
                    <c:v>2024</c:v>
                  </c:pt>
                  <c:pt idx="10">
                    <c:v>2020</c:v>
                  </c:pt>
                  <c:pt idx="11">
                    <c:v>2021</c:v>
                  </c:pt>
                  <c:pt idx="12">
                    <c:v>2022</c:v>
                  </c:pt>
                  <c:pt idx="13">
                    <c:v>2023</c:v>
                  </c:pt>
                  <c:pt idx="14">
                    <c:v>2024</c:v>
                  </c:pt>
                </c:lvl>
                <c:lvl>
                  <c:pt idx="0">
                    <c:v>BOGO (Buy One Get One)</c:v>
                  </c:pt>
                  <c:pt idx="5">
                    <c:v>Discount on Selected Items</c:v>
                  </c:pt>
                  <c:pt idx="10">
                    <c:v>None</c:v>
                  </c:pt>
                </c:lvl>
              </c:multiLvlStrCache>
            </c:multiLvlStrRef>
          </c:cat>
          <c:val>
            <c:numRef>
              <c:f>promotion!$C$4:$C$22</c:f>
              <c:numCache>
                <c:formatCode>General</c:formatCode>
                <c:ptCount val="15"/>
                <c:pt idx="0">
                  <c:v>78000042908</c:v>
                </c:pt>
                <c:pt idx="1">
                  <c:v>75000035998</c:v>
                </c:pt>
                <c:pt idx="2">
                  <c:v>67000035057</c:v>
                </c:pt>
                <c:pt idx="3">
                  <c:v>75000036927</c:v>
                </c:pt>
                <c:pt idx="4">
                  <c:v>34000016073</c:v>
                </c:pt>
                <c:pt idx="5">
                  <c:v>80000038811</c:v>
                </c:pt>
                <c:pt idx="6">
                  <c:v>79000041308</c:v>
                </c:pt>
                <c:pt idx="7">
                  <c:v>69000036374</c:v>
                </c:pt>
                <c:pt idx="8">
                  <c:v>61000025088</c:v>
                </c:pt>
                <c:pt idx="9">
                  <c:v>24000014673</c:v>
                </c:pt>
                <c:pt idx="10">
                  <c:v>87000041930</c:v>
                </c:pt>
                <c:pt idx="11">
                  <c:v>84000039252</c:v>
                </c:pt>
                <c:pt idx="12">
                  <c:v>73000035649</c:v>
                </c:pt>
                <c:pt idx="13">
                  <c:v>84000043741</c:v>
                </c:pt>
                <c:pt idx="14">
                  <c:v>29000014712</c:v>
                </c:pt>
              </c:numCache>
            </c:numRef>
          </c:val>
          <c:extLst>
            <c:ext xmlns:c16="http://schemas.microsoft.com/office/drawing/2014/chart" uri="{C3380CC4-5D6E-409C-BE32-E72D297353CC}">
              <c16:uniqueId val="{00000001-1877-4E94-8B5D-CFF640526B8C}"/>
            </c:ext>
          </c:extLst>
        </c:ser>
        <c:dLbls>
          <c:showLegendKey val="0"/>
          <c:showVal val="0"/>
          <c:showCatName val="0"/>
          <c:showSerName val="0"/>
          <c:showPercent val="0"/>
          <c:showBubbleSize val="0"/>
        </c:dLbls>
        <c:gapWidth val="219"/>
        <c:overlap val="-27"/>
        <c:axId val="2132761648"/>
        <c:axId val="18388656"/>
      </c:barChart>
      <c:catAx>
        <c:axId val="213276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656"/>
        <c:crosses val="autoZero"/>
        <c:auto val="1"/>
        <c:lblAlgn val="ctr"/>
        <c:lblOffset val="100"/>
        <c:noMultiLvlLbl val="0"/>
      </c:catAx>
      <c:valAx>
        <c:axId val="1838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76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5</xdr:col>
      <xdr:colOff>520700</xdr:colOff>
      <xdr:row>29</xdr:row>
      <xdr:rowOff>76200</xdr:rowOff>
    </xdr:to>
    <xdr:graphicFrame macro="">
      <xdr:nvGraphicFramePr>
        <xdr:cNvPr id="2" name="Chart 1">
          <a:extLst>
            <a:ext uri="{FF2B5EF4-FFF2-40B4-BE49-F238E27FC236}">
              <a16:creationId xmlns:a16="http://schemas.microsoft.com/office/drawing/2014/main" id="{45564055-F46F-4A20-AA74-649A69586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197069</xdr:colOff>
      <xdr:row>13</xdr:row>
      <xdr:rowOff>175173</xdr:rowOff>
    </xdr:from>
    <xdr:to>
      <xdr:col>13</xdr:col>
      <xdr:colOff>501869</xdr:colOff>
      <xdr:row>29</xdr:row>
      <xdr:rowOff>54304</xdr:rowOff>
    </xdr:to>
    <xdr:graphicFrame macro="">
      <xdr:nvGraphicFramePr>
        <xdr:cNvPr id="3" name="Chart 2">
          <a:extLst>
            <a:ext uri="{FF2B5EF4-FFF2-40B4-BE49-F238E27FC236}">
              <a16:creationId xmlns:a16="http://schemas.microsoft.com/office/drawing/2014/main" id="{D6937BC1-8CC2-480B-AC64-6973B72E1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131380</xdr:colOff>
      <xdr:row>30</xdr:row>
      <xdr:rowOff>131380</xdr:rowOff>
    </xdr:from>
    <xdr:to>
      <xdr:col>6</xdr:col>
      <xdr:colOff>39415</xdr:colOff>
      <xdr:row>46</xdr:row>
      <xdr:rowOff>32407</xdr:rowOff>
    </xdr:to>
    <xdr:graphicFrame macro="">
      <xdr:nvGraphicFramePr>
        <xdr:cNvPr id="4" name="Chart 3">
          <a:extLst>
            <a:ext uri="{FF2B5EF4-FFF2-40B4-BE49-F238E27FC236}">
              <a16:creationId xmlns:a16="http://schemas.microsoft.com/office/drawing/2014/main" id="{9497571D-A5B8-4836-AA65-622E7AEA4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197069</xdr:colOff>
      <xdr:row>31</xdr:row>
      <xdr:rowOff>43793</xdr:rowOff>
    </xdr:from>
    <xdr:to>
      <xdr:col>13</xdr:col>
      <xdr:colOff>501869</xdr:colOff>
      <xdr:row>46</xdr:row>
      <xdr:rowOff>119993</xdr:rowOff>
    </xdr:to>
    <xdr:graphicFrame macro="">
      <xdr:nvGraphicFramePr>
        <xdr:cNvPr id="5" name="Chart 4">
          <a:extLst>
            <a:ext uri="{FF2B5EF4-FFF2-40B4-BE49-F238E27FC236}">
              <a16:creationId xmlns:a16="http://schemas.microsoft.com/office/drawing/2014/main" id="{841F77CC-6949-4133-86C4-86593E23D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131380</xdr:colOff>
      <xdr:row>47</xdr:row>
      <xdr:rowOff>65690</xdr:rowOff>
    </xdr:from>
    <xdr:to>
      <xdr:col>6</xdr:col>
      <xdr:colOff>42042</xdr:colOff>
      <xdr:row>62</xdr:row>
      <xdr:rowOff>141889</xdr:rowOff>
    </xdr:to>
    <xdr:graphicFrame macro="">
      <xdr:nvGraphicFramePr>
        <xdr:cNvPr id="6" name="Chart 5">
          <a:extLst>
            <a:ext uri="{FF2B5EF4-FFF2-40B4-BE49-F238E27FC236}">
              <a16:creationId xmlns:a16="http://schemas.microsoft.com/office/drawing/2014/main" id="{E080E990-98F2-495A-A7EF-EAC8DFCE3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442556</xdr:colOff>
      <xdr:row>13</xdr:row>
      <xdr:rowOff>155640</xdr:rowOff>
    </xdr:from>
    <xdr:to>
      <xdr:col>26</xdr:col>
      <xdr:colOff>444111</xdr:colOff>
      <xdr:row>27</xdr:row>
      <xdr:rowOff>31550</xdr:rowOff>
    </xdr:to>
    <mc:AlternateContent xmlns:mc="http://schemas.openxmlformats.org/markup-compatibility/2006" xmlns:a14="http://schemas.microsoft.com/office/drawing/2010/main">
      <mc:Choice Requires="a14">
        <xdr:graphicFrame macro="">
          <xdr:nvGraphicFramePr>
            <xdr:cNvPr id="7" name="Payment_Method">
              <a:extLst>
                <a:ext uri="{FF2B5EF4-FFF2-40B4-BE49-F238E27FC236}">
                  <a16:creationId xmlns:a16="http://schemas.microsoft.com/office/drawing/2014/main" id="{9938399C-19B4-276B-6C76-1CE01D09B68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6835923" y="5352273"/>
              <a:ext cx="1828800" cy="2428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193092</xdr:colOff>
      <xdr:row>13</xdr:row>
      <xdr:rowOff>178318</xdr:rowOff>
    </xdr:from>
    <xdr:to>
      <xdr:col>23</xdr:col>
      <xdr:colOff>194647</xdr:colOff>
      <xdr:row>27</xdr:row>
      <xdr:rowOff>54228</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524F66E2-F265-8E6D-DF4D-EE2BE2F554D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759214" y="5374951"/>
              <a:ext cx="1828800" cy="2428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99137</xdr:colOff>
      <xdr:row>14</xdr:row>
      <xdr:rowOff>19568</xdr:rowOff>
    </xdr:from>
    <xdr:to>
      <xdr:col>20</xdr:col>
      <xdr:colOff>100693</xdr:colOff>
      <xdr:row>27</xdr:row>
      <xdr:rowOff>89865</xdr:rowOff>
    </xdr:to>
    <mc:AlternateContent xmlns:mc="http://schemas.openxmlformats.org/markup-compatibility/2006" xmlns:a14="http://schemas.microsoft.com/office/drawing/2010/main">
      <mc:Choice Requires="a14">
        <xdr:graphicFrame macro="">
          <xdr:nvGraphicFramePr>
            <xdr:cNvPr id="9" name="Store_Type">
              <a:extLst>
                <a:ext uri="{FF2B5EF4-FFF2-40B4-BE49-F238E27FC236}">
                  <a16:creationId xmlns:a16="http://schemas.microsoft.com/office/drawing/2014/main" id="{E426254E-81F9-FD0E-BE30-EA5B69661B04}"/>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12838015" y="5410588"/>
              <a:ext cx="1828800" cy="2428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18142</xdr:colOff>
      <xdr:row>14</xdr:row>
      <xdr:rowOff>68165</xdr:rowOff>
    </xdr:from>
    <xdr:to>
      <xdr:col>17</xdr:col>
      <xdr:colOff>19697</xdr:colOff>
      <xdr:row>25</xdr:row>
      <xdr:rowOff>160450</xdr:rowOff>
    </xdr:to>
    <mc:AlternateContent xmlns:mc="http://schemas.openxmlformats.org/markup-compatibility/2006" xmlns:a14="http://schemas.microsoft.com/office/drawing/2010/main">
      <mc:Choice Requires="a14">
        <xdr:graphicFrame macro="">
          <xdr:nvGraphicFramePr>
            <xdr:cNvPr id="10" name="Season">
              <a:extLst>
                <a:ext uri="{FF2B5EF4-FFF2-40B4-BE49-F238E27FC236}">
                  <a16:creationId xmlns:a16="http://schemas.microsoft.com/office/drawing/2014/main" id="{68D71426-AEF3-01B4-3138-1101E648F25B}"/>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929775" y="5459185"/>
              <a:ext cx="1828800" cy="20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725714</xdr:colOff>
      <xdr:row>47</xdr:row>
      <xdr:rowOff>142550</xdr:rowOff>
    </xdr:from>
    <xdr:to>
      <xdr:col>12</xdr:col>
      <xdr:colOff>528735</xdr:colOff>
      <xdr:row>62</xdr:row>
      <xdr:rowOff>164322</xdr:rowOff>
    </xdr:to>
    <xdr:graphicFrame macro="">
      <xdr:nvGraphicFramePr>
        <xdr:cNvPr id="11" name="Chart 10">
          <a:extLst>
            <a:ext uri="{FF2B5EF4-FFF2-40B4-BE49-F238E27FC236}">
              <a16:creationId xmlns:a16="http://schemas.microsoft.com/office/drawing/2014/main" id="{62E028E6-D014-4091-B7C7-5FE127F18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140347</xdr:colOff>
      <xdr:row>30</xdr:row>
      <xdr:rowOff>40173</xdr:rowOff>
    </xdr:from>
    <xdr:to>
      <xdr:col>19</xdr:col>
      <xdr:colOff>428689</xdr:colOff>
      <xdr:row>37</xdr:row>
      <xdr:rowOff>141773</xdr:rowOff>
    </xdr:to>
    <mc:AlternateContent xmlns:mc="http://schemas.openxmlformats.org/markup-compatibility/2006">
      <mc:Choice xmlns:tsle="http://schemas.microsoft.com/office/drawing/2012/timeslicer" Requires="tsle">
        <xdr:graphicFrame macro="">
          <xdr:nvGraphicFramePr>
            <xdr:cNvPr id="12" name="Date">
              <a:extLst>
                <a:ext uri="{FF2B5EF4-FFF2-40B4-BE49-F238E27FC236}">
                  <a16:creationId xmlns:a16="http://schemas.microsoft.com/office/drawing/2014/main" id="{6FA07505-F81F-1F3B-8FD4-8F6F90F90BC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1051980" y="7167724"/>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596900</xdr:colOff>
      <xdr:row>1</xdr:row>
      <xdr:rowOff>149225</xdr:rowOff>
    </xdr:from>
    <xdr:to>
      <xdr:col>10</xdr:col>
      <xdr:colOff>292100</xdr:colOff>
      <xdr:row>17</xdr:row>
      <xdr:rowOff>47625</xdr:rowOff>
    </xdr:to>
    <xdr:graphicFrame macro="">
      <xdr:nvGraphicFramePr>
        <xdr:cNvPr id="2" name="Chart 1">
          <a:extLst>
            <a:ext uri="{FF2B5EF4-FFF2-40B4-BE49-F238E27FC236}">
              <a16:creationId xmlns:a16="http://schemas.microsoft.com/office/drawing/2014/main" id="{5196255F-D38E-6634-6A3D-39315764E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190500</xdr:colOff>
      <xdr:row>1</xdr:row>
      <xdr:rowOff>104775</xdr:rowOff>
    </xdr:from>
    <xdr:to>
      <xdr:col>9</xdr:col>
      <xdr:colOff>495300</xdr:colOff>
      <xdr:row>17</xdr:row>
      <xdr:rowOff>3175</xdr:rowOff>
    </xdr:to>
    <xdr:graphicFrame macro="">
      <xdr:nvGraphicFramePr>
        <xdr:cNvPr id="2" name="Chart 1">
          <a:extLst>
            <a:ext uri="{FF2B5EF4-FFF2-40B4-BE49-F238E27FC236}">
              <a16:creationId xmlns:a16="http://schemas.microsoft.com/office/drawing/2014/main" id="{66D9F06F-F181-F0CE-3FF4-429FAA923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79375</xdr:colOff>
      <xdr:row>1</xdr:row>
      <xdr:rowOff>155575</xdr:rowOff>
    </xdr:from>
    <xdr:to>
      <xdr:col>10</xdr:col>
      <xdr:colOff>384175</xdr:colOff>
      <xdr:row>17</xdr:row>
      <xdr:rowOff>53975</xdr:rowOff>
    </xdr:to>
    <xdr:graphicFrame macro="">
      <xdr:nvGraphicFramePr>
        <xdr:cNvPr id="2" name="Chart 1">
          <a:extLst>
            <a:ext uri="{FF2B5EF4-FFF2-40B4-BE49-F238E27FC236}">
              <a16:creationId xmlns:a16="http://schemas.microsoft.com/office/drawing/2014/main" id="{924F17AD-CEA4-4E17-2EDA-8BD177237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190500</xdr:colOff>
      <xdr:row>1</xdr:row>
      <xdr:rowOff>136525</xdr:rowOff>
    </xdr:from>
    <xdr:to>
      <xdr:col>9</xdr:col>
      <xdr:colOff>495300</xdr:colOff>
      <xdr:row>17</xdr:row>
      <xdr:rowOff>34925</xdr:rowOff>
    </xdr:to>
    <xdr:graphicFrame macro="">
      <xdr:nvGraphicFramePr>
        <xdr:cNvPr id="2" name="Chart 1">
          <a:extLst>
            <a:ext uri="{FF2B5EF4-FFF2-40B4-BE49-F238E27FC236}">
              <a16:creationId xmlns:a16="http://schemas.microsoft.com/office/drawing/2014/main" id="{64CBF5A0-0ED2-DC38-7A3B-E8C500EA5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22225</xdr:colOff>
      <xdr:row>2</xdr:row>
      <xdr:rowOff>47625</xdr:rowOff>
    </xdr:from>
    <xdr:to>
      <xdr:col>10</xdr:col>
      <xdr:colOff>327025</xdr:colOff>
      <xdr:row>17</xdr:row>
      <xdr:rowOff>123825</xdr:rowOff>
    </xdr:to>
    <xdr:graphicFrame macro="">
      <xdr:nvGraphicFramePr>
        <xdr:cNvPr id="2" name="Chart 1">
          <a:extLst>
            <a:ext uri="{FF2B5EF4-FFF2-40B4-BE49-F238E27FC236}">
              <a16:creationId xmlns:a16="http://schemas.microsoft.com/office/drawing/2014/main" id="{402089B7-3EDF-D054-A864-00E08DC49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xdr:row>
      <xdr:rowOff>161925</xdr:rowOff>
    </xdr:from>
    <xdr:to>
      <xdr:col>10</xdr:col>
      <xdr:colOff>304800</xdr:colOff>
      <xdr:row>17</xdr:row>
      <xdr:rowOff>60325</xdr:rowOff>
    </xdr:to>
    <xdr:graphicFrame macro="">
      <xdr:nvGraphicFramePr>
        <xdr:cNvPr id="2" name="Chart 1">
          <a:extLst>
            <a:ext uri="{FF2B5EF4-FFF2-40B4-BE49-F238E27FC236}">
              <a16:creationId xmlns:a16="http://schemas.microsoft.com/office/drawing/2014/main" id="{C2355BED-1CC0-D1DB-C1C4-4023A8D6B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Pranami" refreshedDate="46323.377819675923" createdVersion="8" refreshedVersion="8" minRefreshableVersion="3" recordCount="999" xr:uid="{6F6E51FB-2ACF-4DB6-B606-CCD9787188A9}">
  <cacheSource type="worksheet">
    <worksheetSource name="Table1"/>
  </cacheSource>
  <cacheFields count="16">
    <cacheField name="Transaction_ID" numFmtId="0">
      <sharedItems containsSemiMixedTypes="0" containsString="0" containsNumber="1" containsInteger="1" minValue="1000000000" maxValue="1000000998"/>
    </cacheField>
    <cacheField name="Date" numFmtId="22">
      <sharedItems containsSemiMixedTypes="0" containsNonDate="0" containsDate="1" containsString="0" minDate="2020-01-02T00:27:51" maxDate="2024-05-17T15:59:27" count="999">
        <d v="2022-01-21T06:27:29"/>
        <d v="2023-03-01T13:01:21"/>
        <d v="2024-03-21T15:37:04"/>
        <d v="2020-10-31T09:59:47"/>
        <d v="2020-12-10T00:59:59"/>
        <d v="2021-10-07T12:37:26"/>
        <d v="2023-01-08T10:40:03"/>
        <d v="2020-09-03T12:39:59"/>
        <d v="2021-04-05T06:32:18"/>
        <d v="2021-07-08T10:08:59"/>
        <d v="2020-03-18T18:58:18"/>
        <d v="2023-03-30T19:26:41"/>
        <d v="2023-05-27T15:52:59"/>
        <d v="2023-04-02T09:24:11"/>
        <d v="2020-04-09T04:31:05"/>
        <d v="2021-01-01T04:29:07"/>
        <d v="2021-10-15T13:24:31"/>
        <d v="2021-09-16T09:28:28"/>
        <d v="2022-07-18T11:33:28"/>
        <d v="2021-01-31T07:52:18"/>
        <d v="2021-10-31T07:46:22"/>
        <d v="2022-12-30T20:03:19"/>
        <d v="2021-06-08T10:28:59"/>
        <d v="2020-01-03T23:24:18"/>
        <d v="2023-02-27T16:46:56"/>
        <d v="2020-02-14T13:19:10"/>
        <d v="2020-09-21T10:34:40"/>
        <d v="2020-03-26T22:08:34"/>
        <d v="2022-08-13T01:26:19"/>
        <d v="2020-02-27T10:23:56"/>
        <d v="2023-01-08T22:59:24"/>
        <d v="2024-05-04T13:22:31"/>
        <d v="2023-04-04T10:57:09"/>
        <d v="2022-03-26T19:18:49"/>
        <d v="2023-02-07T14:09:36"/>
        <d v="2022-10-12T11:57:51"/>
        <d v="2020-10-16T09:05:18"/>
        <d v="2020-05-31T05:35:31"/>
        <d v="2020-07-11T22:15:24"/>
        <d v="2023-07-11T11:36:26"/>
        <d v="2022-05-31T17:09:14"/>
        <d v="2023-07-01T20:11:15"/>
        <d v="2023-11-13T12:48:32"/>
        <d v="2020-10-12T12:39:54"/>
        <d v="2022-09-21T05:09:33"/>
        <d v="2022-10-28T18:17:19"/>
        <d v="2024-05-10T23:21:05"/>
        <d v="2023-02-06T01:31:51"/>
        <d v="2024-04-17T00:49:23"/>
        <d v="2021-06-24T14:01:31"/>
        <d v="2021-04-10T19:14:33"/>
        <d v="2023-09-18T09:06:04"/>
        <d v="2020-05-10T17:02:07"/>
        <d v="2020-12-30T14:17:51"/>
        <d v="2023-03-02T19:56:06"/>
        <d v="2022-06-23T18:30:47"/>
        <d v="2022-05-09T08:42:36"/>
        <d v="2021-11-23T07:49:29"/>
        <d v="2024-01-11T05:41:42"/>
        <d v="2020-06-30T00:58:57"/>
        <d v="2021-11-11T03:45:51"/>
        <d v="2021-10-28T20:51:11"/>
        <d v="2021-06-23T06:46:40"/>
        <d v="2023-08-24T05:20:40"/>
        <d v="2021-06-28T06:41:33"/>
        <d v="2023-08-14T13:19:28"/>
        <d v="2022-04-08T08:49:31"/>
        <d v="2020-04-04T01:57:16"/>
        <d v="2021-10-30T21:16:48"/>
        <d v="2022-08-19T07:26:19"/>
        <d v="2020-09-21T09:18:47"/>
        <d v="2020-05-11T12:03:19"/>
        <d v="2022-10-27T03:15:06"/>
        <d v="2021-06-13T14:25:07"/>
        <d v="2020-03-16T13:50:41"/>
        <d v="2023-05-28T19:43:50"/>
        <d v="2024-04-11T22:31:18"/>
        <d v="2024-03-18T02:50:31"/>
        <d v="2021-01-06T11:48:28"/>
        <d v="2024-01-24T16:50:14"/>
        <d v="2020-05-16T23:24:23"/>
        <d v="2022-05-10T23:55:25"/>
        <d v="2021-09-12T13:17:37"/>
        <d v="2020-09-10T19:56:18"/>
        <d v="2022-05-30T10:26:47"/>
        <d v="2020-10-28T23:16:56"/>
        <d v="2020-09-22T03:20:37"/>
        <d v="2021-09-03T01:57:08"/>
        <d v="2020-04-23T04:16:43"/>
        <d v="2021-03-23T19:58:18"/>
        <d v="2023-11-18T20:40:55"/>
        <d v="2023-04-03T21:35:35"/>
        <d v="2023-02-08T15:22:36"/>
        <d v="2023-12-30T04:04:38"/>
        <d v="2021-04-10T16:00:58"/>
        <d v="2022-02-08T17:55:17"/>
        <d v="2021-05-11T19:50:51"/>
        <d v="2022-07-29T17:21:58"/>
        <d v="2022-10-05T18:14:22"/>
        <d v="2020-08-01T23:03:47"/>
        <d v="2020-01-15T21:16:12"/>
        <d v="2021-03-15T01:30:26"/>
        <d v="2022-10-22T16:34:21"/>
        <d v="2020-02-10T01:48:04"/>
        <d v="2022-12-27T06:34:48"/>
        <d v="2021-04-21T03:43:05"/>
        <d v="2022-05-14T12:06:21"/>
        <d v="2023-01-30T16:47:57"/>
        <d v="2023-10-11T18:27:18"/>
        <d v="2022-09-24T01:38:43"/>
        <d v="2021-04-23T13:09:53"/>
        <d v="2022-09-21T12:12:44"/>
        <d v="2022-01-11T11:36:50"/>
        <d v="2023-04-24T01:06:26"/>
        <d v="2021-07-31T22:35:35"/>
        <d v="2021-12-12T02:59:50"/>
        <d v="2024-03-05T06:13:20"/>
        <d v="2021-01-05T21:56:18"/>
        <d v="2023-04-06T20:51:07"/>
        <d v="2021-06-21T07:37:06"/>
        <d v="2023-02-26T11:40:59"/>
        <d v="2022-03-21T14:49:58"/>
        <d v="2020-08-29T13:41:33"/>
        <d v="2023-09-17T23:36:37"/>
        <d v="2023-08-21T07:05:31"/>
        <d v="2021-05-02T14:10:54"/>
        <d v="2022-08-10T00:26:19"/>
        <d v="2021-06-02T05:16:55"/>
        <d v="2024-04-30T02:08:34"/>
        <d v="2020-10-28T23:23:04"/>
        <d v="2022-09-08T07:32:40"/>
        <d v="2022-09-02T23:11:17"/>
        <d v="2021-04-18T21:43:40"/>
        <d v="2022-07-08T20:10:34"/>
        <d v="2020-10-28T03:12:39"/>
        <d v="2020-05-04T09:30:35"/>
        <d v="2021-02-26T11:14:04"/>
        <d v="2023-11-02T09:25:00"/>
        <d v="2021-04-07T10:10:36"/>
        <d v="2022-11-03T02:17:41"/>
        <d v="2020-12-08T16:09:29"/>
        <d v="2023-03-05T04:11:13"/>
        <d v="2023-03-18T16:05:02"/>
        <d v="2024-04-04T05:28:15"/>
        <d v="2022-11-19T23:47:44"/>
        <d v="2023-02-07T02:49:22"/>
        <d v="2022-12-31T19:41:36"/>
        <d v="2021-03-18T13:20:00"/>
        <d v="2023-07-28T08:34:42"/>
        <d v="2021-04-11T04:00:58"/>
        <d v="2020-09-22T10:18:39"/>
        <d v="2021-04-17T12:55:07"/>
        <d v="2020-07-28T04:10:22"/>
        <d v="2023-12-11T12:45:12"/>
        <d v="2023-09-20T21:00:52"/>
        <d v="2020-04-18T01:29:28"/>
        <d v="2023-10-09T12:34:08"/>
        <d v="2021-10-11T03:22:18"/>
        <d v="2023-03-19T13:07:44"/>
        <d v="2021-11-20T09:58:17"/>
        <d v="2024-02-28T14:41:48"/>
        <d v="2022-03-10T22:42:00"/>
        <d v="2022-10-26T23:16:09"/>
        <d v="2020-08-20T15:17:10"/>
        <d v="2023-12-03T03:08:14"/>
        <d v="2021-04-25T05:04:49"/>
        <d v="2024-04-24T21:49:53"/>
        <d v="2020-10-24T14:25:04"/>
        <d v="2020-06-28T18:14:35"/>
        <d v="2023-06-24T14:37:26"/>
        <d v="2023-09-03T18:28:01"/>
        <d v="2023-02-14T22:57:04"/>
        <d v="2021-08-27T21:54:19"/>
        <d v="2020-11-11T23:34:19"/>
        <d v="2021-04-16T22:38:36"/>
        <d v="2024-04-07T21:08:08"/>
        <d v="2023-01-23T07:31:14"/>
        <d v="2022-11-13T20:33:27"/>
        <d v="2024-03-17T00:34:38"/>
        <d v="2021-12-16T19:32:28"/>
        <d v="2021-06-21T05:47:31"/>
        <d v="2020-12-05T01:54:53"/>
        <d v="2020-11-18T08:26:46"/>
        <d v="2021-12-31T01:19:06"/>
        <d v="2022-03-09T04:31:31"/>
        <d v="2020-03-31T05:22:40"/>
        <d v="2022-01-06T08:14:52"/>
        <d v="2022-09-15T21:05:42"/>
        <d v="2022-09-13T05:58:50"/>
        <d v="2021-03-28T23:25:21"/>
        <d v="2024-01-14T10:01:30"/>
        <d v="2020-02-11T11:41:25"/>
        <d v="2024-04-26T00:16:33"/>
        <d v="2020-10-13T15:30:29"/>
        <d v="2020-07-24T06:17:02"/>
        <d v="2023-04-01T14:19:17"/>
        <d v="2022-04-24T04:38:44"/>
        <d v="2022-06-04T19:22:15"/>
        <d v="2021-01-26T05:46:56"/>
        <d v="2022-02-06T01:27:37"/>
        <d v="2023-06-11T10:26:52"/>
        <d v="2024-02-16T00:17:11"/>
        <d v="2020-03-01T20:12:51"/>
        <d v="2021-09-11T18:36:17"/>
        <d v="2023-11-29T19:00:15"/>
        <d v="2023-12-27T05:05:28"/>
        <d v="2023-05-01T05:29:56"/>
        <d v="2021-04-10T08:08:00"/>
        <d v="2022-06-01T00:16:42"/>
        <d v="2021-08-20T06:00:45"/>
        <d v="2023-09-17T01:37:28"/>
        <d v="2021-05-04T16:16:06"/>
        <d v="2020-09-30T11:28:51"/>
        <d v="2021-09-30T05:17:21"/>
        <d v="2023-05-12T08:08:44"/>
        <d v="2020-01-03T23:36:11"/>
        <d v="2022-05-03T19:43:09"/>
        <d v="2021-09-18T05:56:15"/>
        <d v="2021-09-04T06:01:56"/>
        <d v="2020-11-06T04:18:59"/>
        <d v="2024-02-02T13:06:48"/>
        <d v="2023-04-20T04:26:59"/>
        <d v="2021-02-05T07:29:54"/>
        <d v="2023-03-01T23:31:35"/>
        <d v="2020-10-09T05:10:56"/>
        <d v="2021-08-13T13:03:49"/>
        <d v="2022-11-17T05:57:26"/>
        <d v="2020-02-15T09:07:09"/>
        <d v="2021-02-21T21:33:57"/>
        <d v="2021-07-10T18:05:53"/>
        <d v="2022-05-15T13:30:45"/>
        <d v="2022-09-15T19:30:06"/>
        <d v="2021-07-12T19:21:05"/>
        <d v="2023-04-24T04:09:08"/>
        <d v="2023-05-09T07:42:11"/>
        <d v="2023-12-06T22:36:13"/>
        <d v="2023-07-24T04:23:08"/>
        <d v="2023-12-04T13:25:59"/>
        <d v="2023-04-25T09:57:58"/>
        <d v="2022-08-31T22:42:52"/>
        <d v="2022-11-21T07:58:19"/>
        <d v="2022-12-03T02:43:00"/>
        <d v="2020-04-20T02:30:22"/>
        <d v="2020-03-11T18:33:23"/>
        <d v="2022-04-01T11:38:31"/>
        <d v="2022-12-16T10:50:39"/>
        <d v="2021-10-27T14:16:11"/>
        <d v="2023-04-18T14:44:26"/>
        <d v="2020-11-24T20:47:02"/>
        <d v="2021-04-16T11:55:29"/>
        <d v="2024-01-24T03:46:07"/>
        <d v="2021-01-03T09:31:32"/>
        <d v="2022-04-13T04:44:33"/>
        <d v="2020-12-19T02:54:03"/>
        <d v="2023-03-01T20:48:47"/>
        <d v="2021-08-25T11:41:56"/>
        <d v="2022-02-20T22:41:41"/>
        <d v="2024-04-17T12:35:54"/>
        <d v="2023-03-03T15:39:07"/>
        <d v="2021-12-11T10:43:54"/>
        <d v="2022-05-09T08:59:01"/>
        <d v="2022-11-21T12:53:46"/>
        <d v="2021-12-14T17:24:13"/>
        <d v="2020-05-31T15:32:44"/>
        <d v="2021-09-08T12:36:46"/>
        <d v="2023-11-15T17:33:06"/>
        <d v="2022-09-27T03:45:21"/>
        <d v="2020-01-02T00:27:51"/>
        <d v="2023-01-16T11:25:56"/>
        <d v="2020-11-22T01:11:55"/>
        <d v="2023-11-19T08:21:58"/>
        <d v="2022-12-17T17:26:40"/>
        <d v="2023-12-08T17:42:48"/>
        <d v="2023-11-09T07:56:37"/>
        <d v="2023-10-19T06:38:17"/>
        <d v="2022-07-23T06:10:41"/>
        <d v="2023-10-27T17:47:23"/>
        <d v="2021-09-26T04:44:59"/>
        <d v="2021-03-18T10:25:46"/>
        <d v="2021-03-25T23:26:49"/>
        <d v="2020-03-01T18:27:24"/>
        <d v="2020-09-17T21:44:18"/>
        <d v="2021-01-10T16:28:23"/>
        <d v="2020-05-27T05:12:58"/>
        <d v="2022-10-21T13:17:16"/>
        <d v="2022-05-08T12:22:09"/>
        <d v="2023-05-30T06:57:24"/>
        <d v="2023-01-02T21:20:47"/>
        <d v="2021-07-15T13:56:50"/>
        <d v="2021-04-12T13:52:33"/>
        <d v="2020-05-31T23:16:25"/>
        <d v="2023-05-29T05:46:55"/>
        <d v="2020-11-12T03:27:23"/>
        <d v="2020-09-10T04:28:35"/>
        <d v="2021-05-08T11:46:35"/>
        <d v="2020-03-15T10:32:29"/>
        <d v="2022-03-12T19:42:41"/>
        <d v="2020-08-04T11:17:31"/>
        <d v="2022-02-10T10:43:44"/>
        <d v="2024-03-23T04:55:50"/>
        <d v="2021-06-05T08:46:40"/>
        <d v="2023-07-15T23:55:15"/>
        <d v="2020-06-04T15:28:57"/>
        <d v="2021-02-24T18:47:01"/>
        <d v="2022-12-17T17:38:42"/>
        <d v="2022-02-13T04:42:09"/>
        <d v="2023-04-14T07:18:49"/>
        <d v="2021-02-10T04:20:09"/>
        <d v="2023-06-22T21:28:54"/>
        <d v="2023-01-28T20:59:23"/>
        <d v="2022-08-18T08:02:30"/>
        <d v="2020-01-07T01:35:58"/>
        <d v="2020-12-02T18:12:16"/>
        <d v="2022-12-27T09:21:27"/>
        <d v="2023-07-06T12:06:12"/>
        <d v="2024-03-01T18:10:22"/>
        <d v="2020-06-24T05:01:02"/>
        <d v="2020-10-03T13:50:43"/>
        <d v="2023-02-02T02:05:40"/>
        <d v="2022-07-23T05:13:11"/>
        <d v="2021-01-27T05:09:58"/>
        <d v="2024-01-09T11:41:57"/>
        <d v="2023-01-08T11:51:39"/>
        <d v="2021-04-17T20:11:03"/>
        <d v="2021-11-17T00:42:04"/>
        <d v="2021-11-11T02:24:37"/>
        <d v="2020-07-01T00:49:29"/>
        <d v="2021-04-19T22:13:14"/>
        <d v="2022-05-20T17:13:05"/>
        <d v="2022-10-10T04:25:10"/>
        <d v="2020-02-05T13:58:28"/>
        <d v="2021-06-25T13:48:49"/>
        <d v="2024-01-01T08:46:11"/>
        <d v="2021-03-02T10:44:56"/>
        <d v="2022-02-02T11:39:38"/>
        <d v="2024-04-16T11:13:42"/>
        <d v="2021-09-14T00:26:13"/>
        <d v="2023-03-19T09:39:59"/>
        <d v="2022-02-24T22:44:21"/>
        <d v="2020-10-01T10:24:46"/>
        <d v="2022-02-05T19:17:25"/>
        <d v="2024-03-07T20:33:45"/>
        <d v="2020-04-30T08:47:19"/>
        <d v="2020-12-14T16:57:18"/>
        <d v="2020-10-01T12:19:56"/>
        <d v="2021-07-31T00:30:24"/>
        <d v="2020-03-23T08:45:02"/>
        <d v="2020-06-11T22:09:27"/>
        <d v="2020-11-12T09:56:14"/>
        <d v="2022-05-18T20:42:23"/>
        <d v="2024-03-05T14:03:54"/>
        <d v="2021-12-13T16:53:19"/>
        <d v="2021-09-29T10:27:15"/>
        <d v="2024-03-18T04:37:42"/>
        <d v="2022-03-19T18:56:51"/>
        <d v="2020-12-07T08:07:10"/>
        <d v="2021-10-02T00:39:23"/>
        <d v="2022-02-02T02:18:49"/>
        <d v="2022-03-08T03:02:47"/>
        <d v="2023-12-07T14:00:01"/>
        <d v="2023-12-03T00:49:53"/>
        <d v="2023-10-04T18:32:21"/>
        <d v="2020-08-22T18:00:36"/>
        <d v="2023-03-26T06:38:53"/>
        <d v="2020-03-21T19:13:42"/>
        <d v="2021-12-07T23:42:25"/>
        <d v="2021-04-23T07:59:12"/>
        <d v="2023-04-03T05:06:08"/>
        <d v="2021-05-21T13:54:21"/>
        <d v="2022-08-31T08:17:51"/>
        <d v="2023-11-19T20:51:49"/>
        <d v="2020-08-18T04:17:55"/>
        <d v="2021-06-28T15:03:56"/>
        <d v="2020-12-23T04:04:35"/>
        <d v="2022-11-02T00:41:54"/>
        <d v="2023-01-22T00:34:33"/>
        <d v="2021-08-01T20:48:53"/>
        <d v="2023-07-02T04:52:44"/>
        <d v="2020-06-26T18:40:25"/>
        <d v="2023-01-12T02:37:30"/>
        <d v="2021-04-20T20:48:40"/>
        <d v="2020-03-17T06:46:19"/>
        <d v="2020-10-10T15:23:44"/>
        <d v="2021-12-18T21:20:24"/>
        <d v="2020-06-30T18:24:38"/>
        <d v="2023-07-08T14:17:20"/>
        <d v="2021-04-03T23:52:29"/>
        <d v="2021-05-18T22:19:37"/>
        <d v="2023-07-09T10:26:12"/>
        <d v="2020-09-14T01:48:20"/>
        <d v="2024-03-14T19:01:00"/>
        <d v="2024-01-13T17:11:02"/>
        <d v="2022-08-11T05:30:54"/>
        <d v="2023-05-27T18:18:07"/>
        <d v="2022-03-06T15:18:07"/>
        <d v="2022-08-28T04:37:03"/>
        <d v="2020-10-30T09:20:29"/>
        <d v="2021-02-19T11:51:33"/>
        <d v="2023-02-05T15:44:41"/>
        <d v="2022-08-25T15:48:44"/>
        <d v="2021-03-20T15:08:02"/>
        <d v="2020-09-06T06:05:54"/>
        <d v="2020-08-15T21:47:37"/>
        <d v="2020-04-05T04:08:42"/>
        <d v="2021-04-28T13:09:15"/>
        <d v="2022-09-14T07:20:35"/>
        <d v="2022-09-17T14:28:48"/>
        <d v="2020-09-22T11:18:25"/>
        <d v="2020-11-20T17:02:25"/>
        <d v="2021-07-14T06:54:21"/>
        <d v="2020-04-24T17:56:35"/>
        <d v="2020-07-18T18:11:51"/>
        <d v="2021-05-12T01:27:21"/>
        <d v="2023-02-10T21:43:42"/>
        <d v="2024-04-02T07:14:07"/>
        <d v="2021-11-16T05:52:54"/>
        <d v="2023-07-14T11:48:26"/>
        <d v="2020-12-26T11:06:40"/>
        <d v="2021-10-29T22:49:22"/>
        <d v="2023-08-19T08:20:43"/>
        <d v="2023-06-24T15:43:11"/>
        <d v="2023-09-29T15:34:31"/>
        <d v="2021-06-08T00:59:55"/>
        <d v="2023-03-18T05:21:31"/>
        <d v="2020-06-01T21:09:44"/>
        <d v="2023-12-11T23:42:04"/>
        <d v="2020-08-30T01:19:38"/>
        <d v="2022-12-05T07:09:06"/>
        <d v="2022-04-17T04:15:55"/>
        <d v="2022-10-30T13:28:39"/>
        <d v="2020-01-20T23:29:05"/>
        <d v="2023-05-24T06:51:01"/>
        <d v="2023-04-25T00:06:30"/>
        <d v="2023-09-24T01:27:39"/>
        <d v="2023-03-08T10:19:15"/>
        <d v="2020-12-06T06:15:46"/>
        <d v="2021-09-21T12:32:03"/>
        <d v="2020-01-06T10:44:49"/>
        <d v="2020-06-15T08:10:10"/>
        <d v="2023-12-10T03:49:23"/>
        <d v="2022-05-01T11:06:05"/>
        <d v="2022-06-28T16:01:37"/>
        <d v="2021-12-05T20:27:17"/>
        <d v="2024-04-08T09:42:37"/>
        <d v="2020-02-11T17:40:30"/>
        <d v="2022-06-01T01:52:34"/>
        <d v="2023-08-30T21:47:40"/>
        <d v="2021-12-02T11:59:36"/>
        <d v="2023-04-16T22:11:30"/>
        <d v="2023-05-15T16:05:34"/>
        <d v="2023-03-13T18:47:40"/>
        <d v="2023-03-25T14:23:50"/>
        <d v="2023-01-27T19:18:52"/>
        <d v="2020-03-10T12:27:36"/>
        <d v="2020-10-27T22:31:34"/>
        <d v="2023-02-21T10:17:19"/>
        <d v="2022-12-19T19:52:37"/>
        <d v="2024-04-22T02:54:46"/>
        <d v="2023-01-20T20:08:30"/>
        <d v="2020-05-21T08:59:58"/>
        <d v="2022-02-21T00:37:33"/>
        <d v="2022-12-30T07:39:24"/>
        <d v="2020-01-18T00:32:27"/>
        <d v="2021-03-21T15:51:20"/>
        <d v="2020-02-27T21:17:26"/>
        <d v="2022-01-15T16:04:44"/>
        <d v="2020-01-15T12:18:05"/>
        <d v="2022-03-01T05:12:02"/>
        <d v="2024-05-07T02:26:25"/>
        <d v="2024-04-26T06:29:07"/>
        <d v="2021-01-05T16:52:02"/>
        <d v="2023-04-28T21:21:08"/>
        <d v="2023-12-04T13:11:29"/>
        <d v="2024-03-10T05:53:59"/>
        <d v="2020-03-07T21:42:33"/>
        <d v="2021-09-06T13:41:16"/>
        <d v="2022-03-24T23:31:08"/>
        <d v="2021-04-04T16:24:28"/>
        <d v="2023-01-23T04:27:34"/>
        <d v="2021-11-12T10:44:53"/>
        <d v="2023-11-27T11:11:50"/>
        <d v="2020-10-26T15:48:14"/>
        <d v="2020-07-01T07:14:23"/>
        <d v="2022-05-16T02:20:41"/>
        <d v="2023-04-05T04:25:16"/>
        <d v="2023-10-10T08:13:50"/>
        <d v="2023-01-18T09:53:23"/>
        <d v="2020-06-19T01:27:07"/>
        <d v="2021-03-13T05:36:50"/>
        <d v="2023-12-11T23:23:12"/>
        <d v="2024-01-05T12:29:41"/>
        <d v="2022-02-25T02:46:19"/>
        <d v="2021-12-10T22:09:16"/>
        <d v="2021-10-07T13:59:07"/>
        <d v="2024-04-05T08:44:29"/>
        <d v="2024-01-07T02:37:45"/>
        <d v="2023-05-27T14:08:49"/>
        <d v="2020-11-24T01:16:19"/>
        <d v="2023-07-10T05:18:14"/>
        <d v="2023-11-18T04:49:34"/>
        <d v="2022-03-28T05:06:03"/>
        <d v="2020-12-22T14:40:42"/>
        <d v="2020-03-20T11:40:43"/>
        <d v="2023-09-07T06:59:24"/>
        <d v="2021-09-08T06:39:03"/>
        <d v="2020-08-27T18:56:46"/>
        <d v="2024-05-17T15:59:27"/>
        <d v="2020-05-12T11:11:33"/>
        <d v="2020-01-12T14:07:10"/>
        <d v="2020-07-26T18:02:09"/>
        <d v="2020-08-28T05:32:23"/>
        <d v="2023-07-10T11:37:01"/>
        <d v="2020-11-12T07:12:41"/>
        <d v="2022-03-19T02:49:55"/>
        <d v="2022-04-12T16:40:02"/>
        <d v="2021-02-11T18:52:01"/>
        <d v="2020-08-03T17:15:24"/>
        <d v="2023-06-15T03:55:01"/>
        <d v="2023-09-17T07:32:21"/>
        <d v="2022-01-12T07:32:16"/>
        <d v="2024-01-19T17:56:55"/>
        <d v="2024-04-07T15:50:47"/>
        <d v="2021-07-28T05:31:33"/>
        <d v="2024-03-08T13:36:46"/>
        <d v="2022-10-24T11:04:23"/>
        <d v="2023-01-03T02:42:08"/>
        <d v="2020-12-29T22:10:54"/>
        <d v="2022-08-26T14:12:49"/>
        <d v="2021-03-07T03:14:14"/>
        <d v="2021-11-17T21:00:11"/>
        <d v="2021-07-17T00:00:31"/>
        <d v="2020-08-14T11:18:29"/>
        <d v="2021-01-16T10:35:56"/>
        <d v="2023-01-27T06:11:28"/>
        <d v="2020-10-17T16:48:47"/>
        <d v="2023-02-03T17:14:13"/>
        <d v="2024-02-16T06:01:26"/>
        <d v="2021-08-31T08:21:59"/>
        <d v="2022-09-11T20:25:12"/>
        <d v="2022-01-17T06:26:06"/>
        <d v="2021-03-02T08:42:39"/>
        <d v="2024-04-12T14:28:37"/>
        <d v="2020-07-18T21:04:54"/>
        <d v="2020-04-06T20:38:16"/>
        <d v="2020-01-10T14:21:12"/>
        <d v="2024-02-10T23:49:39"/>
        <d v="2021-09-24T11:04:22"/>
        <d v="2023-05-30T21:14:05"/>
        <d v="2023-03-29T18:28:56"/>
        <d v="2023-05-23T20:43:05"/>
        <d v="2023-12-08T03:37:46"/>
        <d v="2021-07-23T22:56:39"/>
        <d v="2024-02-04T11:40:43"/>
        <d v="2020-02-02T17:30:51"/>
        <d v="2020-02-12T23:46:39"/>
        <d v="2023-10-02T23:12:45"/>
        <d v="2024-02-09T18:25:41"/>
        <d v="2022-06-13T22:34:25"/>
        <d v="2021-11-12T14:50:09"/>
        <d v="2021-12-16T16:50:26"/>
        <d v="2021-03-16T23:53:19"/>
        <d v="2020-05-05T15:41:02"/>
        <d v="2024-05-10T14:54:10"/>
        <d v="2020-09-02T12:06:53"/>
        <d v="2021-12-29T17:42:32"/>
        <d v="2020-12-21T06:59:38"/>
        <d v="2020-04-13T05:33:37"/>
        <d v="2024-04-21T03:45:04"/>
        <d v="2021-03-04T05:17:34"/>
        <d v="2023-04-26T00:12:49"/>
        <d v="2024-02-24T01:17:32"/>
        <d v="2023-07-12T14:15:56"/>
        <d v="2021-09-10T07:35:27"/>
        <d v="2020-05-15T21:25:31"/>
        <d v="2022-08-27T21:05:57"/>
        <d v="2021-04-07T03:33:44"/>
        <d v="2020-05-19T08:57:53"/>
        <d v="2022-10-21T18:55:44"/>
        <d v="2023-09-13T10:56:37"/>
        <d v="2022-11-21T11:00:57"/>
        <d v="2020-04-06T00:31:48"/>
        <d v="2024-03-22T13:08:09"/>
        <d v="2023-05-13T17:19:30"/>
        <d v="2022-06-01T15:58:38"/>
        <d v="2023-05-06T02:53:25"/>
        <d v="2021-05-21T17:51:45"/>
        <d v="2023-05-19T10:12:42"/>
        <d v="2020-02-29T07:40:11"/>
        <d v="2021-09-03T14:16:50"/>
        <d v="2022-03-03T15:21:12"/>
        <d v="2021-04-24T09:24:26"/>
        <d v="2021-02-04T01:10:08"/>
        <d v="2021-03-02T02:32:03"/>
        <d v="2022-06-28T22:20:22"/>
        <d v="2020-02-03T06:21:16"/>
        <d v="2021-10-18T14:43:27"/>
        <d v="2022-08-21T10:33:54"/>
        <d v="2020-02-01T11:54:51"/>
        <d v="2023-06-29T11:14:45"/>
        <d v="2022-08-13T03:33:44"/>
        <d v="2021-02-20T11:34:51"/>
        <d v="2021-01-30T23:01:09"/>
        <d v="2021-09-19T20:49:15"/>
        <d v="2020-03-30T12:07:14"/>
        <d v="2020-11-06T18:09:17"/>
        <d v="2022-10-27T10:21:38"/>
        <d v="2022-09-05T15:08:47"/>
        <d v="2023-08-20T19:41:39"/>
        <d v="2021-11-08T16:50:51"/>
        <d v="2023-03-26T05:50:18"/>
        <d v="2021-02-03T14:02:51"/>
        <d v="2023-10-18T10:48:09"/>
        <d v="2022-03-08T12:48:14"/>
        <d v="2022-03-31T23:02:46"/>
        <d v="2024-04-07T16:30:41"/>
        <d v="2022-12-05T00:51:39"/>
        <d v="2021-04-14T22:36:44"/>
        <d v="2023-05-30T06:36:02"/>
        <d v="2024-04-25T00:38:08"/>
        <d v="2020-09-20T22:23:30"/>
        <d v="2022-03-27T11:22:33"/>
        <d v="2021-07-12T06:14:17"/>
        <d v="2020-12-18T19:54:01"/>
        <d v="2022-04-01T22:07:53"/>
        <d v="2023-10-08T20:44:10"/>
        <d v="2020-08-31T09:08:54"/>
        <d v="2022-07-21T05:59:29"/>
        <d v="2020-03-17T20:07:06"/>
        <d v="2021-05-12T13:38:46"/>
        <d v="2023-10-21T13:16:35"/>
        <d v="2024-02-04T11:32:14"/>
        <d v="2020-04-21T10:47:59"/>
        <d v="2021-12-19T21:34:23"/>
        <d v="2021-06-02T13:37:25"/>
        <d v="2022-10-25T17:29:21"/>
        <d v="2023-01-13T13:51:40"/>
        <d v="2022-02-08T00:06:12"/>
        <d v="2022-03-03T20:49:20"/>
        <d v="2022-09-02T01:24:11"/>
        <d v="2020-01-25T22:28:25"/>
        <d v="2020-08-30T08:11:59"/>
        <d v="2020-02-15T03:19:17"/>
        <d v="2020-06-17T12:55:24"/>
        <d v="2022-01-18T19:00:14"/>
        <d v="2021-01-29T16:52:40"/>
        <d v="2020-08-09T14:38:25"/>
        <d v="2021-06-20T04:48:48"/>
        <d v="2020-11-19T07:41:41"/>
        <d v="2021-04-22T09:25:21"/>
        <d v="2023-09-08T19:12:45"/>
        <d v="2021-11-11T02:53:17"/>
        <d v="2020-01-21T19:03:57"/>
        <d v="2023-03-09T23:55:49"/>
        <d v="2024-01-06T18:34:23"/>
        <d v="2022-12-01T21:08:30"/>
        <d v="2022-02-23T11:35:55"/>
        <d v="2022-04-08T13:36:28"/>
        <d v="2023-03-16T10:55:21"/>
        <d v="2021-09-12T19:45:39"/>
        <d v="2021-02-13T23:38:09"/>
        <d v="2021-07-05T06:12:51"/>
        <d v="2022-06-29T14:28:51"/>
        <d v="2023-07-05T20:32:08"/>
        <d v="2021-11-20T09:24:48"/>
        <d v="2020-04-05T00:50:47"/>
        <d v="2024-04-14T15:16:33"/>
        <d v="2020-04-23T13:48:05"/>
        <d v="2023-03-14T19:13:10"/>
        <d v="2023-01-11T09:20:21"/>
        <d v="2024-01-07T07:18:30"/>
        <d v="2023-08-08T21:39:31"/>
        <d v="2023-09-26T19:39:27"/>
        <d v="2022-10-28T13:58:09"/>
        <d v="2023-04-14T22:03:05"/>
        <d v="2021-01-27T07:10:59"/>
        <d v="2023-12-01T11:17:17"/>
        <d v="2021-08-05T17:51:45"/>
        <d v="2022-01-10T10:40:47"/>
        <d v="2023-04-14T18:20:46"/>
        <d v="2021-02-14T10:43:06"/>
        <d v="2023-06-25T10:46:51"/>
        <d v="2020-04-22T08:49:41"/>
        <d v="2022-05-12T23:27:24"/>
        <d v="2021-01-17T20:31:18"/>
        <d v="2023-07-07T20:07:58"/>
        <d v="2020-05-18T22:05:39"/>
        <d v="2021-08-28T03:42:36"/>
        <d v="2022-03-06T22:17:08"/>
        <d v="2023-12-08T18:57:20"/>
        <d v="2022-09-24T06:28:41"/>
        <d v="2020-02-20T08:36:05"/>
        <d v="2022-01-29T14:08:22"/>
        <d v="2020-03-22T09:35:04"/>
        <d v="2021-03-07T06:14:28"/>
        <d v="2020-07-04T23:44:41"/>
        <d v="2024-03-13T21:22:55"/>
        <d v="2022-08-21T13:08:36"/>
        <d v="2021-05-26T23:56:11"/>
        <d v="2021-01-10T16:25:02"/>
        <d v="2021-06-25T10:42:06"/>
        <d v="2024-01-29T11:50:06"/>
        <d v="2023-06-15T02:58:22"/>
        <d v="2022-07-18T12:38:06"/>
        <d v="2021-05-09T00:46:38"/>
        <d v="2023-01-17T16:52:58"/>
        <d v="2022-07-10T04:49:40"/>
        <d v="2020-01-11T23:57:27"/>
        <d v="2023-02-05T11:11:23"/>
        <d v="2021-07-02T17:54:31"/>
        <d v="2021-12-05T14:42:23"/>
        <d v="2023-02-02T20:10:12"/>
        <d v="2022-08-02T11:49:36"/>
        <d v="2020-07-06T19:56:41"/>
        <d v="2022-01-06T05:32:39"/>
        <d v="2022-02-01T06:31:47"/>
        <d v="2022-08-19T20:10:34"/>
        <d v="2020-11-14T12:35:46"/>
        <d v="2023-11-15T10:36:21"/>
        <d v="2020-05-02T20:54:45"/>
        <d v="2021-02-23T14:49:36"/>
        <d v="2022-07-09T00:41:32"/>
        <d v="2020-07-27T01:43:37"/>
        <d v="2021-08-23T13:04:01"/>
        <d v="2020-08-07T16:54:04"/>
        <d v="2021-04-13T18:18:28"/>
        <d v="2023-09-16T06:44:07"/>
        <d v="2020-01-04T02:36:25"/>
        <d v="2024-01-10T01:26:06"/>
        <d v="2021-02-15T07:47:15"/>
        <d v="2020-10-09T20:25:44"/>
        <d v="2020-07-07T16:48:41"/>
        <d v="2020-08-10T07:48:15"/>
        <d v="2023-04-13T01:22:37"/>
        <d v="2022-06-13T20:17:35"/>
        <d v="2022-08-02T19:28:47"/>
        <d v="2024-03-10T10:30:32"/>
        <d v="2024-01-02T13:48:25"/>
        <d v="2021-02-18T02:33:22"/>
        <d v="2020-05-18T11:28:34"/>
        <d v="2020-11-16T12:05:30"/>
        <d v="2021-06-10T06:33:24"/>
        <d v="2021-09-29T09:03:02"/>
        <d v="2023-09-07T07:21:18"/>
        <d v="2020-05-25T12:03:23"/>
        <d v="2020-06-05T08:34:57"/>
        <d v="2020-03-18T12:57:37"/>
        <d v="2022-06-19T07:49:13"/>
        <d v="2022-09-27T12:39:32"/>
        <d v="2022-03-14T02:19:52"/>
        <d v="2021-05-30T11:37:27"/>
        <d v="2022-07-02T00:06:16"/>
        <d v="2024-04-27T07:12:47"/>
        <d v="2023-07-05T23:14:09"/>
        <d v="2020-12-16T01:36:18"/>
        <d v="2020-01-09T23:18:47"/>
        <d v="2020-10-26T11:37:13"/>
        <d v="2023-07-30T14:33:50"/>
        <d v="2020-08-29T16:41:22"/>
        <d v="2024-03-10T19:46:45"/>
        <d v="2021-05-31T05:53:36"/>
        <d v="2023-01-22T01:18:33"/>
        <d v="2020-04-29T14:07:39"/>
        <d v="2022-08-30T01:55:51"/>
        <d v="2022-11-20T06:28:56"/>
        <d v="2020-08-23T16:48:24"/>
        <d v="2023-04-11T06:52:59"/>
        <d v="2021-10-21T17:41:51"/>
        <d v="2022-09-04T00:26:23"/>
        <d v="2020-12-15T10:19:36"/>
        <d v="2020-01-25T21:28:18"/>
        <d v="2020-03-15T11:55:39"/>
        <d v="2021-08-21T22:23:33"/>
        <d v="2020-11-25T09:37:56"/>
        <d v="2020-08-26T01:46:42"/>
        <d v="2024-04-27T15:24:36"/>
        <d v="2023-02-13T16:58:21"/>
        <d v="2021-04-16T14:30:19"/>
        <d v="2023-09-20T01:10:47"/>
        <d v="2021-12-22T23:24:02"/>
        <d v="2022-03-27T14:06:10"/>
        <d v="2021-09-10T05:46:30"/>
        <d v="2021-12-07T06:16:55"/>
        <d v="2021-12-03T12:40:26"/>
        <d v="2020-03-02T06:11:07"/>
        <d v="2023-02-07T15:36:27"/>
        <d v="2021-06-15T20:28:40"/>
        <d v="2023-03-24T15:04:12"/>
        <d v="2023-02-02T05:43:38"/>
        <d v="2021-05-15T08:32:16"/>
        <d v="2021-10-12T16:34:17"/>
        <d v="2020-09-26T18:33:53"/>
        <d v="2022-02-19T07:49:53"/>
        <d v="2020-08-21T22:51:00"/>
        <d v="2021-11-08T07:29:34"/>
        <d v="2024-03-11T13:24:27"/>
        <d v="2022-10-03T17:54:31"/>
        <d v="2020-09-05T08:41:43"/>
        <d v="2021-10-07T15:31:43"/>
        <d v="2020-04-17T21:29:00"/>
        <d v="2022-12-21T11:07:59"/>
        <d v="2021-04-07T10:09:50"/>
        <d v="2020-06-01T11:07:35"/>
        <d v="2022-02-22T08:25:05"/>
        <d v="2023-04-07T11:23:31"/>
        <d v="2023-03-22T08:45:00"/>
        <d v="2021-04-27T20:07:08"/>
        <d v="2021-07-07T06:17:10"/>
        <d v="2020-11-03T06:52:53"/>
        <d v="2023-09-22T15:18:06"/>
        <d v="2022-06-02T15:59:40"/>
        <d v="2020-05-10T11:24:00"/>
        <d v="2020-04-14T09:20:42"/>
        <d v="2021-11-14T08:57:53"/>
        <d v="2021-03-13T06:34:47"/>
        <d v="2020-04-23T03:44:20"/>
        <d v="2021-03-27T22:01:44"/>
        <d v="2021-01-22T22:08:18"/>
        <d v="2020-07-11T20:34:57"/>
        <d v="2023-02-19T07:20:41"/>
        <d v="2022-11-30T13:22:34"/>
        <d v="2021-06-05T23:29:12"/>
        <d v="2020-04-18T21:06:58"/>
        <d v="2022-05-25T03:53:51"/>
        <d v="2021-03-20T18:25:59"/>
        <d v="2021-12-20T20:25:04"/>
        <d v="2021-02-27T07:26:04"/>
        <d v="2021-10-31T06:25:40"/>
        <d v="2024-03-10T03:59:13"/>
        <d v="2022-10-17T18:21:35"/>
        <d v="2023-02-22T11:26:02"/>
        <d v="2024-04-04T02:03:31"/>
        <d v="2021-07-08T05:44:48"/>
        <d v="2020-04-28T16:14:19"/>
        <d v="2022-08-24T10:39:46"/>
        <d v="2023-03-17T21:22:21"/>
        <d v="2021-03-15T11:08:24"/>
        <d v="2020-10-11T18:29:30"/>
        <d v="2024-01-01T19:21:38"/>
        <d v="2022-05-15T07:45:57"/>
        <d v="2020-01-27T15:35:20"/>
        <d v="2020-07-15T09:45:00"/>
        <d v="2022-06-12T02:20:38"/>
        <d v="2020-09-02T06:27:19"/>
        <d v="2020-09-23T15:29:41"/>
        <d v="2020-07-23T20:59:30"/>
        <d v="2021-07-24T13:28:42"/>
        <d v="2024-01-09T02:09:57"/>
        <d v="2022-07-22T18:22:21"/>
        <d v="2022-01-09T14:57:48"/>
        <d v="2022-07-08T18:31:37"/>
        <d v="2020-04-20T00:58:24"/>
        <d v="2021-02-18T09:40:19"/>
        <d v="2022-12-17T18:49:10"/>
        <d v="2022-02-19T07:09:10"/>
        <d v="2023-01-25T20:27:50"/>
        <d v="2020-10-13T06:12:42"/>
        <d v="2021-10-01T06:54:29"/>
        <d v="2021-07-15T03:38:36"/>
        <d v="2021-11-10T07:02:45"/>
        <d v="2022-09-21T08:04:24"/>
        <d v="2020-11-14T10:34:54"/>
        <d v="2020-03-03T14:45:35"/>
        <d v="2020-08-30T18:16:23"/>
        <d v="2022-06-24T05:25:31"/>
        <d v="2022-01-18T02:55:51"/>
        <d v="2023-10-30T00:32:17"/>
        <d v="2021-09-01T01:40:04"/>
        <d v="2022-07-01T00:52:20"/>
        <d v="2021-02-25T19:19:09"/>
        <d v="2022-02-11T21:48:13"/>
        <d v="2023-05-06T03:22:09"/>
        <d v="2021-06-16T23:36:13"/>
        <d v="2021-04-20T02:58:38"/>
        <d v="2021-05-09T02:55:50"/>
        <d v="2022-05-06T16:03:13"/>
        <d v="2023-06-22T06:43:19"/>
        <d v="2021-03-28T08:40:54"/>
        <d v="2024-03-09T02:46:57"/>
        <d v="2023-12-27T22:58:32"/>
        <d v="2022-10-17T10:01:29"/>
        <d v="2021-04-12T04:56:22"/>
        <d v="2021-09-09T06:45:25"/>
        <d v="2022-04-06T07:40:07"/>
        <d v="2020-05-17T03:09:55"/>
        <d v="2021-08-04T06:49:01"/>
        <d v="2023-03-14T10:27:12"/>
        <d v="2020-10-07T23:30:33"/>
        <d v="2022-06-01T17:46:54"/>
        <d v="2022-09-21T03:27:29"/>
        <d v="2024-02-14T07:49:12"/>
        <d v="2021-04-08T06:48:55"/>
        <d v="2022-03-14T03:56:34"/>
        <d v="2020-06-22T00:44:21"/>
        <d v="2023-03-16T19:23:22"/>
        <d v="2020-04-01T12:05:03"/>
        <d v="2020-03-16T21:57:59"/>
        <d v="2021-04-18T23:25:44"/>
        <d v="2024-01-02T01:48:05"/>
        <d v="2021-05-09T05:53:50"/>
        <d v="2020-01-21T00:48:21"/>
        <d v="2021-12-02T05:23:15"/>
        <d v="2023-08-25T18:43:58"/>
        <d v="2024-02-03T17:18:45"/>
        <d v="2020-08-16T07:44:11"/>
        <d v="2023-07-12T23:10:22"/>
        <d v="2022-09-05T10:02:50"/>
        <d v="2022-01-17T05:31:47"/>
        <d v="2022-09-11T13:58:47"/>
        <d v="2023-01-21T23:31:09"/>
        <d v="2022-07-06T22:00:22"/>
        <d v="2022-02-12T09:41:17"/>
        <d v="2021-02-28T02:34:19"/>
        <d v="2023-12-06T04:27:38"/>
        <d v="2024-04-04T02:23:15"/>
        <d v="2020-12-23T07:39:38"/>
        <d v="2023-04-04T07:51:41"/>
        <d v="2020-04-15T04:50:56"/>
        <d v="2020-09-20T19:25:01"/>
        <d v="2022-06-11T00:20:30"/>
        <d v="2021-03-28T07:17:41"/>
        <d v="2023-04-27T00:40:06"/>
        <d v="2020-05-06T07:14:28"/>
        <d v="2020-05-21T03:56:49"/>
        <d v="2020-06-09T07:47:15"/>
        <d v="2020-04-10T23:54:42"/>
        <d v="2023-06-21T20:38:44"/>
        <d v="2022-09-25T03:23:24"/>
        <d v="2023-10-27T13:36:31"/>
        <d v="2021-11-21T07:26:59"/>
        <d v="2024-01-23T18:20:57"/>
        <d v="2022-06-28T05:38:51"/>
        <d v="2022-06-26T12:28:32"/>
        <d v="2021-04-24T19:20:20"/>
        <d v="2024-03-06T21:06:49"/>
        <d v="2022-03-02T10:46:41"/>
        <d v="2020-05-31T06:11:10"/>
        <d v="2021-08-24T21:28:58"/>
        <d v="2023-06-27T19:45:20"/>
        <d v="2021-05-17T13:42:47"/>
        <d v="2023-02-17T12:59:37"/>
        <d v="2022-08-30T10:39:41"/>
        <d v="2020-01-09T06:19:00"/>
        <d v="2024-01-24T21:33:41"/>
        <d v="2022-08-16T14:49:13"/>
        <d v="2022-01-11T20:44:14"/>
        <d v="2023-05-08T14:44:42"/>
        <d v="2020-09-26T15:13:29"/>
        <d v="2023-08-13T02:09:47"/>
        <d v="2020-06-23T05:47:56"/>
        <d v="2024-03-01T04:19:57"/>
        <d v="2022-07-04T16:33:53"/>
        <d v="2023-02-08T03:06:22"/>
        <d v="2023-11-13T23:09:51"/>
        <d v="2023-02-05T02:00:40"/>
        <d v="2021-05-31T01:18:43"/>
        <d v="2024-01-30T19:01:52"/>
        <d v="2023-07-13T09:44:03"/>
        <d v="2021-05-31T02:29:55"/>
        <d v="2022-02-25T12:45:15"/>
        <d v="2024-02-27T19:11:44"/>
        <d v="2023-09-04T08:48:17"/>
        <d v="2022-10-23T19:08:40"/>
        <d v="2021-06-29T12:15:39"/>
        <d v="2021-05-31T15:54:40"/>
        <d v="2023-01-06T03:29:29"/>
        <d v="2020-03-22T19:33:13"/>
        <d v="2022-04-21T16:27:59"/>
        <d v="2023-04-05T14:54:34"/>
        <d v="2023-07-20T11:49:06"/>
        <d v="2020-06-05T02:14:49"/>
        <d v="2020-11-26T16:49:06"/>
        <d v="2020-07-08T16:51:58"/>
        <d v="2022-06-30T19:10:47"/>
        <d v="2020-02-14T14:04:37"/>
        <d v="2023-10-16T19:34:38"/>
        <d v="2022-08-16T07:11:29"/>
        <d v="2020-12-21T21:28:26"/>
        <d v="2023-01-18T20:07:03"/>
        <d v="2023-05-24T02:16:28"/>
        <d v="2024-04-26T03:21:43"/>
        <d v="2022-10-04T01:58:52"/>
        <d v="2020-09-08T16:14:09"/>
        <d v="2023-05-09T19:05:22"/>
        <d v="2022-06-22T20:59:25"/>
        <d v="2022-06-10T13:33:37"/>
        <d v="2020-02-24T20:31:15"/>
        <d v="2024-04-01T13:58:57"/>
        <d v="2020-10-14T19:46:27"/>
        <d v="2024-05-13T19:04:24"/>
        <d v="2021-11-25T06:06:41"/>
        <d v="2023-01-01T06:01:59"/>
        <d v="2022-11-29T00:35:28"/>
        <d v="2023-01-07T18:04:53"/>
        <d v="2023-08-19T12:00:57"/>
        <d v="2020-10-08T14:27:44"/>
        <d v="2021-03-23T19:07:44"/>
        <d v="2021-01-26T17:08:07"/>
        <d v="2022-01-10T15:07:02"/>
        <d v="2024-02-01T15:45:43"/>
      </sharedItems>
      <fieldGroup par="15"/>
    </cacheField>
    <cacheField name="Customer_Name" numFmtId="0">
      <sharedItems/>
    </cacheField>
    <cacheField name="Product" numFmtId="0">
      <sharedItems/>
    </cacheField>
    <cacheField name="Total_Items" numFmtId="0">
      <sharedItems containsSemiMixedTypes="0" containsString="0" containsNumber="1" containsInteger="1" minValue="1" maxValue="10"/>
    </cacheField>
    <cacheField name="Total_Cost" numFmtId="0">
      <sharedItems containsSemiMixedTypes="0" containsString="0" containsNumber="1" minValue="5.09" maxValue="99.93"/>
    </cacheField>
    <cacheField name="Payment_Method" numFmtId="0">
      <sharedItems count="4">
        <s v="Mobile Payment"/>
        <s v="Cash"/>
        <s v="Credit Card"/>
        <s v="Debit Card"/>
      </sharedItems>
    </cacheField>
    <cacheField name="City" numFmtId="0">
      <sharedItems count="10">
        <s v="Los Angeles"/>
        <s v="San Francisco"/>
        <s v="Houston"/>
        <s v="Chicago"/>
        <s v="Boston"/>
        <s v="New York"/>
        <s v="Seattle"/>
        <s v="Miami"/>
        <s v="Dallas"/>
        <s v="Atlanta"/>
      </sharedItems>
    </cacheField>
    <cacheField name="Store_Type" numFmtId="0">
      <sharedItems count="6">
        <s v="Warehouse Club"/>
        <s v="Specialty Store"/>
        <s v="Department Store"/>
        <s v="Pharmacy"/>
        <s v="Supermarket"/>
        <s v="Convenience Store"/>
      </sharedItems>
    </cacheField>
    <cacheField name="Discount_Applied" numFmtId="0">
      <sharedItems/>
    </cacheField>
    <cacheField name="Customer_Category" numFmtId="0">
      <sharedItems count="8">
        <s v="Homemaker"/>
        <s v="Professional"/>
        <s v="Young Adult"/>
        <s v="Retiree"/>
        <s v="Student"/>
        <s v="Middle-Aged"/>
        <s v="Senior Citizen"/>
        <s v="Teenager"/>
      </sharedItems>
    </cacheField>
    <cacheField name="Season" numFmtId="0">
      <sharedItems count="4">
        <s v="Winter"/>
        <s v="Fall"/>
        <s v="Spring"/>
        <s v="Summer"/>
      </sharedItems>
    </cacheField>
    <cacheField name="Promotion" numFmtId="0">
      <sharedItems count="3">
        <s v="None"/>
        <s v="BOGO (Buy One Get One)"/>
        <s v="Discount on Selected Items"/>
      </sharedItems>
    </cacheField>
    <cacheField name="Months (Date)" numFmtId="0" databaseField="0">
      <fieldGroup base="1">
        <rangePr groupBy="months" startDate="2020-01-02T00:27:51" endDate="2024-05-17T15:59:27"/>
        <groupItems count="14">
          <s v="&lt;02-01-2020"/>
          <s v="Jan"/>
          <s v="Feb"/>
          <s v="Mar"/>
          <s v="Apr"/>
          <s v="May"/>
          <s v="Jun"/>
          <s v="Jul"/>
          <s v="Aug"/>
          <s v="Sep"/>
          <s v="Oct"/>
          <s v="Nov"/>
          <s v="Dec"/>
          <s v="&gt;17-05-2024"/>
        </groupItems>
      </fieldGroup>
    </cacheField>
    <cacheField name="Quarters (Date)" numFmtId="0" databaseField="0">
      <fieldGroup base="1">
        <rangePr groupBy="quarters" startDate="2020-01-02T00:27:51" endDate="2024-05-17T15:59:27"/>
        <groupItems count="6">
          <s v="&lt;02-01-2020"/>
          <s v="Qtr1"/>
          <s v="Qtr2"/>
          <s v="Qtr3"/>
          <s v="Qtr4"/>
          <s v="&gt;17-05-2024"/>
        </groupItems>
      </fieldGroup>
    </cacheField>
    <cacheField name="Years (Date)" numFmtId="0" databaseField="0">
      <fieldGroup base="1">
        <rangePr groupBy="years" startDate="2020-01-02T00:27:51" endDate="2024-05-17T15:59:27"/>
        <groupItems count="7">
          <s v="&lt;02-01-2020"/>
          <s v="2020"/>
          <s v="2021"/>
          <s v="2022"/>
          <s v="2023"/>
          <s v="2024"/>
          <s v="&gt;17-05-2024"/>
        </groupItems>
      </fieldGroup>
    </cacheField>
  </cacheFields>
  <extLst>
    <ext xmlns:x14="http://schemas.microsoft.com/office/spreadsheetml/2009/9/main" uri="{725AE2AE-9491-48be-B2B4-4EB974FC3084}">
      <x14:pivotCacheDefinition pivotCacheId="1008297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000000000"/>
    <x v="0"/>
    <s v="Stacey Price"/>
    <s v="['Ketchup', 'Shaving Cream', 'Light Bulbs']"/>
    <n v="3"/>
    <n v="71.650000000000006"/>
    <x v="0"/>
    <x v="0"/>
    <x v="0"/>
    <b v="1"/>
    <x v="0"/>
    <x v="0"/>
    <x v="0"/>
  </r>
  <r>
    <n v="1000000001"/>
    <x v="1"/>
    <s v="Michelle Carlson"/>
    <s v="['Ice Cream', 'Milk', 'Olive Oil', 'Bread', 'Potatoes']"/>
    <n v="2"/>
    <n v="25.93"/>
    <x v="1"/>
    <x v="1"/>
    <x v="1"/>
    <b v="1"/>
    <x v="1"/>
    <x v="1"/>
    <x v="1"/>
  </r>
  <r>
    <n v="1000000002"/>
    <x v="2"/>
    <s v="Lisa Graves"/>
    <s v="['Spinach']"/>
    <n v="6"/>
    <n v="41.49"/>
    <x v="2"/>
    <x v="2"/>
    <x v="2"/>
    <b v="1"/>
    <x v="1"/>
    <x v="0"/>
    <x v="0"/>
  </r>
  <r>
    <n v="1000000003"/>
    <x v="3"/>
    <s v="Mrs. Patricia May"/>
    <s v="['Tissues', 'Mustard']"/>
    <n v="1"/>
    <n v="39.340000000000003"/>
    <x v="0"/>
    <x v="3"/>
    <x v="3"/>
    <b v="1"/>
    <x v="0"/>
    <x v="2"/>
    <x v="0"/>
  </r>
  <r>
    <n v="1000000004"/>
    <x v="4"/>
    <s v="Susan Mitchell"/>
    <s v="['Dish Soap']"/>
    <n v="10"/>
    <n v="16.420000000000002"/>
    <x v="3"/>
    <x v="2"/>
    <x v="1"/>
    <b v="0"/>
    <x v="2"/>
    <x v="0"/>
    <x v="2"/>
  </r>
  <r>
    <n v="1000000005"/>
    <x v="5"/>
    <s v="Joshua Frazier"/>
    <s v="['Toothpaste', 'Chicken']"/>
    <n v="3"/>
    <n v="72.239999999999995"/>
    <x v="1"/>
    <x v="2"/>
    <x v="4"/>
    <b v="1"/>
    <x v="3"/>
    <x v="2"/>
    <x v="2"/>
  </r>
  <r>
    <n v="1000000006"/>
    <x v="6"/>
    <s v="Victoria Garrett"/>
    <s v="['Honey', 'BBQ Sauce', 'Soda', 'Olive Oil', 'Garden Hose']"/>
    <n v="4"/>
    <n v="5.28"/>
    <x v="1"/>
    <x v="4"/>
    <x v="1"/>
    <b v="0"/>
    <x v="4"/>
    <x v="3"/>
    <x v="2"/>
  </r>
  <r>
    <n v="1000000007"/>
    <x v="7"/>
    <s v="Sydney Waller"/>
    <s v="['Syrup', 'Trash Cans', 'Pancake Mix', 'Water', 'Mayonnaise']"/>
    <n v="5"/>
    <n v="21.77"/>
    <x v="3"/>
    <x v="3"/>
    <x v="1"/>
    <b v="0"/>
    <x v="2"/>
    <x v="0"/>
    <x v="2"/>
  </r>
  <r>
    <n v="1000000008"/>
    <x v="8"/>
    <s v="Kimberly Morgan"/>
    <s v="['Insect Repellent']"/>
    <n v="4"/>
    <n v="55.25"/>
    <x v="0"/>
    <x v="0"/>
    <x v="0"/>
    <b v="0"/>
    <x v="0"/>
    <x v="1"/>
    <x v="0"/>
  </r>
  <r>
    <n v="1000000009"/>
    <x v="9"/>
    <s v="Lori Conway"/>
    <s v="['Soap', 'Baby Wipes', 'Soda']"/>
    <n v="7"/>
    <n v="31.21"/>
    <x v="0"/>
    <x v="4"/>
    <x v="5"/>
    <b v="1"/>
    <x v="2"/>
    <x v="0"/>
    <x v="0"/>
  </r>
  <r>
    <n v="1000000010"/>
    <x v="10"/>
    <s v="Randall Roberts"/>
    <s v="['Extension Cords', 'Soda', 'Water', 'Garden Hose', 'Cleaning Spray']"/>
    <n v="8"/>
    <n v="91.59"/>
    <x v="3"/>
    <x v="4"/>
    <x v="2"/>
    <b v="1"/>
    <x v="5"/>
    <x v="1"/>
    <x v="1"/>
  </r>
  <r>
    <n v="1000000011"/>
    <x v="11"/>
    <s v="Jeremiah White"/>
    <s v="['Tea', 'Paper Towels', 'Spinach']"/>
    <n v="7"/>
    <n v="31.88"/>
    <x v="0"/>
    <x v="5"/>
    <x v="1"/>
    <b v="0"/>
    <x v="2"/>
    <x v="1"/>
    <x v="2"/>
  </r>
  <r>
    <n v="1000000012"/>
    <x v="12"/>
    <s v="Sheila Mcgee"/>
    <s v="['Salmon', 'Shaving Cream']"/>
    <n v="9"/>
    <n v="39.75"/>
    <x v="3"/>
    <x v="5"/>
    <x v="3"/>
    <b v="0"/>
    <x v="4"/>
    <x v="3"/>
    <x v="2"/>
  </r>
  <r>
    <n v="1000000013"/>
    <x v="13"/>
    <s v="Allen Miles"/>
    <s v="['Trash Bags', 'Apple', 'Mop', 'Hair Gel']"/>
    <n v="7"/>
    <n v="17.510000000000002"/>
    <x v="0"/>
    <x v="6"/>
    <x v="0"/>
    <b v="0"/>
    <x v="3"/>
    <x v="0"/>
    <x v="1"/>
  </r>
  <r>
    <n v="1000000014"/>
    <x v="14"/>
    <s v="Mark Howard"/>
    <s v="['Razors', 'Laundry Detergent', 'Beef']"/>
    <n v="1"/>
    <n v="33.64"/>
    <x v="2"/>
    <x v="1"/>
    <x v="0"/>
    <b v="1"/>
    <x v="3"/>
    <x v="2"/>
    <x v="0"/>
  </r>
  <r>
    <n v="1000000015"/>
    <x v="15"/>
    <s v="Jesse Henderson"/>
    <s v="['Cereal', 'Vinegar', 'Bath Towels']"/>
    <n v="7"/>
    <n v="29.57"/>
    <x v="0"/>
    <x v="1"/>
    <x v="5"/>
    <b v="0"/>
    <x v="3"/>
    <x v="0"/>
    <x v="1"/>
  </r>
  <r>
    <n v="1000000016"/>
    <x v="16"/>
    <s v="Eric Wall"/>
    <s v="['Air Freshener', 'Feminine Hygiene Products']"/>
    <n v="5"/>
    <n v="99.7"/>
    <x v="0"/>
    <x v="7"/>
    <x v="1"/>
    <b v="1"/>
    <x v="0"/>
    <x v="2"/>
    <x v="0"/>
  </r>
  <r>
    <n v="1000000017"/>
    <x v="17"/>
    <s v="Vanessa Peck"/>
    <s v="['Power Strips', 'Honey', 'Ketchup', 'Tea', 'Shampoo']"/>
    <n v="8"/>
    <n v="15.62"/>
    <x v="2"/>
    <x v="1"/>
    <x v="2"/>
    <b v="0"/>
    <x v="6"/>
    <x v="1"/>
    <x v="0"/>
  </r>
  <r>
    <n v="1000000018"/>
    <x v="18"/>
    <s v="Dominique Stout"/>
    <s v="['Mustard', 'Dustpan']"/>
    <n v="3"/>
    <n v="98.28"/>
    <x v="0"/>
    <x v="5"/>
    <x v="0"/>
    <b v="0"/>
    <x v="1"/>
    <x v="1"/>
    <x v="1"/>
  </r>
  <r>
    <n v="1000000019"/>
    <x v="19"/>
    <s v="Charles Brooks"/>
    <s v="['Coffee']"/>
    <n v="7"/>
    <n v="96.77"/>
    <x v="3"/>
    <x v="3"/>
    <x v="2"/>
    <b v="1"/>
    <x v="0"/>
    <x v="0"/>
    <x v="2"/>
  </r>
  <r>
    <n v="1000000020"/>
    <x v="20"/>
    <s v="Angela Jones"/>
    <s v="['Pancake Mix', 'Vacuum Cleaner']"/>
    <n v="7"/>
    <n v="83.86"/>
    <x v="1"/>
    <x v="2"/>
    <x v="3"/>
    <b v="0"/>
    <x v="7"/>
    <x v="0"/>
    <x v="2"/>
  </r>
  <r>
    <n v="1000000021"/>
    <x v="21"/>
    <s v="John Roberts"/>
    <s v="['Coffee', 'Shaving Cream']"/>
    <n v="1"/>
    <n v="39.93"/>
    <x v="2"/>
    <x v="7"/>
    <x v="2"/>
    <b v="0"/>
    <x v="3"/>
    <x v="3"/>
    <x v="1"/>
  </r>
  <r>
    <n v="1000000022"/>
    <x v="22"/>
    <s v="Nicole White"/>
    <s v="['Shrimp', 'Iron', 'Cleaning Spray', 'Toilet Paper', 'Peanut Butter']"/>
    <n v="4"/>
    <n v="35.619999999999997"/>
    <x v="0"/>
    <x v="5"/>
    <x v="0"/>
    <b v="1"/>
    <x v="3"/>
    <x v="2"/>
    <x v="1"/>
  </r>
  <r>
    <n v="1000000023"/>
    <x v="23"/>
    <s v="Don Harris"/>
    <s v="['Dishware', 'Pickles']"/>
    <n v="7"/>
    <n v="19.559999999999999"/>
    <x v="1"/>
    <x v="1"/>
    <x v="2"/>
    <b v="0"/>
    <x v="3"/>
    <x v="2"/>
    <x v="1"/>
  </r>
  <r>
    <n v="1000000024"/>
    <x v="24"/>
    <s v="Hannah Rowland"/>
    <s v="['Sponges', 'Vacuum Cleaner', 'Iron']"/>
    <n v="4"/>
    <n v="24.03"/>
    <x v="3"/>
    <x v="8"/>
    <x v="3"/>
    <b v="0"/>
    <x v="4"/>
    <x v="0"/>
    <x v="0"/>
  </r>
  <r>
    <n v="1000000025"/>
    <x v="25"/>
    <s v="Jessica Gonzalez"/>
    <s v="['Broom', 'Cereal']"/>
    <n v="10"/>
    <n v="7.82"/>
    <x v="2"/>
    <x v="5"/>
    <x v="5"/>
    <b v="0"/>
    <x v="1"/>
    <x v="1"/>
    <x v="1"/>
  </r>
  <r>
    <n v="1000000026"/>
    <x v="26"/>
    <s v="Christina Smith"/>
    <s v="['Garden Hose', 'Trash Cans']"/>
    <n v="6"/>
    <n v="49.45"/>
    <x v="3"/>
    <x v="8"/>
    <x v="0"/>
    <b v="0"/>
    <x v="6"/>
    <x v="0"/>
    <x v="2"/>
  </r>
  <r>
    <n v="1000000027"/>
    <x v="27"/>
    <s v="Latoya Allen"/>
    <s v="['Ketchup', 'Trash Cans', 'Toothbrush']"/>
    <n v="10"/>
    <n v="29.36"/>
    <x v="0"/>
    <x v="4"/>
    <x v="1"/>
    <b v="0"/>
    <x v="1"/>
    <x v="2"/>
    <x v="0"/>
  </r>
  <r>
    <n v="1000000028"/>
    <x v="28"/>
    <s v="Clayton Roth"/>
    <s v="['Tomatoes', 'Salmon']"/>
    <n v="7"/>
    <n v="21.08"/>
    <x v="2"/>
    <x v="1"/>
    <x v="1"/>
    <b v="1"/>
    <x v="7"/>
    <x v="1"/>
    <x v="0"/>
  </r>
  <r>
    <n v="1000000029"/>
    <x v="29"/>
    <s v="Dennis Alvarez"/>
    <s v="['Tea', 'Salmon', 'Bath Towels', 'Toothpaste']"/>
    <n v="7"/>
    <n v="75.38"/>
    <x v="0"/>
    <x v="2"/>
    <x v="5"/>
    <b v="1"/>
    <x v="7"/>
    <x v="3"/>
    <x v="2"/>
  </r>
  <r>
    <n v="1000000030"/>
    <x v="30"/>
    <s v="Jose Hill"/>
    <s v="['Olive Oil']"/>
    <n v="1"/>
    <n v="73.17"/>
    <x v="3"/>
    <x v="4"/>
    <x v="1"/>
    <b v="1"/>
    <x v="6"/>
    <x v="2"/>
    <x v="0"/>
  </r>
  <r>
    <n v="1000000031"/>
    <x v="31"/>
    <s v="Kristin Webb"/>
    <s v="['Extension Cords', 'Razors', 'Chips', 'Shampoo']"/>
    <n v="4"/>
    <n v="13.34"/>
    <x v="3"/>
    <x v="2"/>
    <x v="2"/>
    <b v="0"/>
    <x v="7"/>
    <x v="3"/>
    <x v="0"/>
  </r>
  <r>
    <n v="1000000032"/>
    <x v="32"/>
    <s v="Robert Gilbert DDS"/>
    <s v="['Apple', 'Butter']"/>
    <n v="7"/>
    <n v="41.4"/>
    <x v="3"/>
    <x v="3"/>
    <x v="4"/>
    <b v="0"/>
    <x v="5"/>
    <x v="2"/>
    <x v="0"/>
  </r>
  <r>
    <n v="1000000033"/>
    <x v="33"/>
    <s v="Thomas Oliver"/>
    <s v="['Broom', 'Chicken', 'Spinach', 'Broom']"/>
    <n v="8"/>
    <n v="26.67"/>
    <x v="2"/>
    <x v="3"/>
    <x v="1"/>
    <b v="1"/>
    <x v="0"/>
    <x v="2"/>
    <x v="2"/>
  </r>
  <r>
    <n v="1000000034"/>
    <x v="34"/>
    <s v="Stacy Owen"/>
    <s v="['Yogurt', 'Ice Cream', 'Insect Repellent']"/>
    <n v="5"/>
    <n v="34.270000000000003"/>
    <x v="2"/>
    <x v="1"/>
    <x v="4"/>
    <b v="1"/>
    <x v="7"/>
    <x v="3"/>
    <x v="1"/>
  </r>
  <r>
    <n v="1000000035"/>
    <x v="35"/>
    <s v="Ann Kane"/>
    <s v="['Onions', 'Dish Soap']"/>
    <n v="10"/>
    <n v="62.33"/>
    <x v="2"/>
    <x v="7"/>
    <x v="0"/>
    <b v="0"/>
    <x v="2"/>
    <x v="2"/>
    <x v="0"/>
  </r>
  <r>
    <n v="1000000036"/>
    <x v="36"/>
    <s v="Mr. John Long"/>
    <s v="['Tomatoes', 'Mustard', 'Apple', 'Hair Gel']"/>
    <n v="4"/>
    <n v="19.11"/>
    <x v="3"/>
    <x v="3"/>
    <x v="5"/>
    <b v="1"/>
    <x v="5"/>
    <x v="0"/>
    <x v="2"/>
  </r>
  <r>
    <n v="1000000037"/>
    <x v="37"/>
    <s v="Annette Robinson"/>
    <s v="['Garden Hose']"/>
    <n v="4"/>
    <n v="25.76"/>
    <x v="0"/>
    <x v="0"/>
    <x v="0"/>
    <b v="1"/>
    <x v="0"/>
    <x v="1"/>
    <x v="1"/>
  </r>
  <r>
    <n v="1000000038"/>
    <x v="38"/>
    <s v="Kimberly Baldwin"/>
    <s v="['Shower Gel', 'Dish Soap', 'Plant Fertilizer', 'Garden Hose', 'Tuna']"/>
    <n v="7"/>
    <n v="61.55"/>
    <x v="2"/>
    <x v="5"/>
    <x v="5"/>
    <b v="0"/>
    <x v="4"/>
    <x v="1"/>
    <x v="0"/>
  </r>
  <r>
    <n v="1000000039"/>
    <x v="39"/>
    <s v="Donald Bradford"/>
    <s v="['Potatoes', 'Air Freshener', 'Sponges', 'Onions', 'Laundry Detergent']"/>
    <n v="5"/>
    <n v="39.08"/>
    <x v="1"/>
    <x v="8"/>
    <x v="4"/>
    <b v="0"/>
    <x v="2"/>
    <x v="2"/>
    <x v="0"/>
  </r>
  <r>
    <n v="1000000040"/>
    <x v="40"/>
    <s v="Mike Gilbert"/>
    <s v="['Feminine Hygiene Products']"/>
    <n v="4"/>
    <n v="12.97"/>
    <x v="2"/>
    <x v="9"/>
    <x v="2"/>
    <b v="0"/>
    <x v="1"/>
    <x v="0"/>
    <x v="0"/>
  </r>
  <r>
    <n v="1000000041"/>
    <x v="41"/>
    <s v="Rebecca Morton"/>
    <s v="['Shaving Cream', 'Butter']"/>
    <n v="8"/>
    <n v="56.99"/>
    <x v="3"/>
    <x v="7"/>
    <x v="1"/>
    <b v="1"/>
    <x v="3"/>
    <x v="3"/>
    <x v="2"/>
  </r>
  <r>
    <n v="1000000042"/>
    <x v="42"/>
    <s v="Nicole Hernandez"/>
    <s v="['Lawn Mower', 'Eggs', 'Dustpan', 'Peanut Butter', 'Beef']"/>
    <n v="9"/>
    <n v="99.77"/>
    <x v="1"/>
    <x v="4"/>
    <x v="1"/>
    <b v="1"/>
    <x v="1"/>
    <x v="2"/>
    <x v="2"/>
  </r>
  <r>
    <n v="1000000043"/>
    <x v="43"/>
    <s v="Paige White"/>
    <s v="['Dustpan', 'BBQ Sauce', 'Toothbrush', 'Deodorant', 'Dish Soap']"/>
    <n v="8"/>
    <n v="29.82"/>
    <x v="1"/>
    <x v="9"/>
    <x v="1"/>
    <b v="0"/>
    <x v="4"/>
    <x v="0"/>
    <x v="2"/>
  </r>
  <r>
    <n v="1000000044"/>
    <x v="44"/>
    <s v="Mr. Lance Perkins"/>
    <s v="['Bread', 'Dustpan', 'Ketchup', 'Ironing Board']"/>
    <n v="7"/>
    <n v="89.97"/>
    <x v="1"/>
    <x v="9"/>
    <x v="2"/>
    <b v="0"/>
    <x v="5"/>
    <x v="0"/>
    <x v="0"/>
  </r>
  <r>
    <n v="1000000045"/>
    <x v="45"/>
    <s v="Kelly Foley"/>
    <s v="['Soap']"/>
    <n v="2"/>
    <n v="83.55"/>
    <x v="2"/>
    <x v="3"/>
    <x v="5"/>
    <b v="0"/>
    <x v="1"/>
    <x v="2"/>
    <x v="2"/>
  </r>
  <r>
    <n v="1000000046"/>
    <x v="46"/>
    <s v="Paula Maldonado"/>
    <s v="['Razors']"/>
    <n v="10"/>
    <n v="44.98"/>
    <x v="1"/>
    <x v="8"/>
    <x v="5"/>
    <b v="0"/>
    <x v="4"/>
    <x v="1"/>
    <x v="0"/>
  </r>
  <r>
    <n v="1000000047"/>
    <x v="47"/>
    <s v="Roberto Franklin"/>
    <s v="['Pasta', 'Olive Oil']"/>
    <n v="7"/>
    <n v="76.09"/>
    <x v="0"/>
    <x v="0"/>
    <x v="5"/>
    <b v="1"/>
    <x v="3"/>
    <x v="3"/>
    <x v="0"/>
  </r>
  <r>
    <n v="1000000048"/>
    <x v="48"/>
    <s v="Steven Clements"/>
    <s v="['Beef', 'Milk', 'Salmon', 'Shampoo']"/>
    <n v="10"/>
    <n v="55.69"/>
    <x v="2"/>
    <x v="6"/>
    <x v="2"/>
    <b v="1"/>
    <x v="7"/>
    <x v="3"/>
    <x v="2"/>
  </r>
  <r>
    <n v="1000000049"/>
    <x v="49"/>
    <s v="Katherine Luna"/>
    <s v="['Tea']"/>
    <n v="3"/>
    <n v="61.53"/>
    <x v="1"/>
    <x v="2"/>
    <x v="0"/>
    <b v="0"/>
    <x v="3"/>
    <x v="0"/>
    <x v="2"/>
  </r>
  <r>
    <n v="1000000050"/>
    <x v="50"/>
    <s v="Ryan Hammond"/>
    <s v="['Hand Sanitizer', 'Plant Fertilizer', 'Baby Wipes', 'Hand Sanitizer', 'Power Strips']"/>
    <n v="1"/>
    <n v="78.459999999999994"/>
    <x v="0"/>
    <x v="1"/>
    <x v="4"/>
    <b v="0"/>
    <x v="7"/>
    <x v="3"/>
    <x v="2"/>
  </r>
  <r>
    <n v="1000000051"/>
    <x v="51"/>
    <s v="Valerie Johnson"/>
    <s v="['Bread']"/>
    <n v="9"/>
    <n v="49.7"/>
    <x v="0"/>
    <x v="7"/>
    <x v="3"/>
    <b v="1"/>
    <x v="3"/>
    <x v="1"/>
    <x v="0"/>
  </r>
  <r>
    <n v="1000000052"/>
    <x v="52"/>
    <s v="Jennifer Mitchell"/>
    <s v="['Vacuum Cleaner', 'Apple', 'Shrimp', 'Trash Bags', 'Carrots']"/>
    <n v="10"/>
    <n v="87.04"/>
    <x v="0"/>
    <x v="4"/>
    <x v="5"/>
    <b v="0"/>
    <x v="6"/>
    <x v="3"/>
    <x v="1"/>
  </r>
  <r>
    <n v="1000000053"/>
    <x v="53"/>
    <s v="Nathan Schwartz"/>
    <s v="['Shrimp', 'Cleaning Rags', 'Olive Oil', 'Soda']"/>
    <n v="2"/>
    <n v="9.5500000000000007"/>
    <x v="1"/>
    <x v="2"/>
    <x v="0"/>
    <b v="0"/>
    <x v="6"/>
    <x v="1"/>
    <x v="1"/>
  </r>
  <r>
    <n v="1000000054"/>
    <x v="54"/>
    <s v="Rebecca Gilmore"/>
    <s v="['Olive Oil', 'Feminine Hygiene Products', 'Toothpaste', 'Soap', 'Bath Towels']"/>
    <n v="8"/>
    <n v="46.79"/>
    <x v="3"/>
    <x v="0"/>
    <x v="1"/>
    <b v="0"/>
    <x v="3"/>
    <x v="0"/>
    <x v="0"/>
  </r>
  <r>
    <n v="1000000055"/>
    <x v="55"/>
    <s v="Todd Parrish"/>
    <s v="['Peanut Butter']"/>
    <n v="7"/>
    <n v="25.89"/>
    <x v="0"/>
    <x v="6"/>
    <x v="1"/>
    <b v="1"/>
    <x v="4"/>
    <x v="1"/>
    <x v="2"/>
  </r>
  <r>
    <n v="1000000056"/>
    <x v="56"/>
    <s v="Christopher Blake"/>
    <s v="['Orange']"/>
    <n v="6"/>
    <n v="5.21"/>
    <x v="1"/>
    <x v="8"/>
    <x v="0"/>
    <b v="0"/>
    <x v="2"/>
    <x v="0"/>
    <x v="1"/>
  </r>
  <r>
    <n v="1000000057"/>
    <x v="57"/>
    <s v="Marie Young"/>
    <s v="['Syrup', 'Tuna', 'Paper Towels', 'Toothpaste', 'Mustard']"/>
    <n v="3"/>
    <n v="12.72"/>
    <x v="1"/>
    <x v="0"/>
    <x v="3"/>
    <b v="1"/>
    <x v="0"/>
    <x v="3"/>
    <x v="1"/>
  </r>
  <r>
    <n v="1000000058"/>
    <x v="58"/>
    <s v="James Mccarthy"/>
    <s v="['Laundry Detergent', 'BBQ Sauce']"/>
    <n v="5"/>
    <n v="15.14"/>
    <x v="0"/>
    <x v="7"/>
    <x v="3"/>
    <b v="0"/>
    <x v="5"/>
    <x v="0"/>
    <x v="2"/>
  </r>
  <r>
    <n v="1000000059"/>
    <x v="59"/>
    <s v="Sharon Espinoza"/>
    <s v="['Dish Soap', 'Shower Gel', 'Lawn Mower', 'Dustpan', 'Toothpaste']"/>
    <n v="4"/>
    <n v="15.68"/>
    <x v="3"/>
    <x v="9"/>
    <x v="1"/>
    <b v="1"/>
    <x v="1"/>
    <x v="0"/>
    <x v="0"/>
  </r>
  <r>
    <n v="1000000060"/>
    <x v="60"/>
    <s v="Rachel Rasmussen"/>
    <s v="['Dustpan', 'Bath Towels', 'Pickles', 'Sponges']"/>
    <n v="2"/>
    <n v="92.78"/>
    <x v="2"/>
    <x v="6"/>
    <x v="4"/>
    <b v="1"/>
    <x v="2"/>
    <x v="1"/>
    <x v="0"/>
  </r>
  <r>
    <n v="1000000061"/>
    <x v="61"/>
    <s v="Thomas Lowery"/>
    <s v="['Milk', 'Tuna', 'Ketchup', 'Broom']"/>
    <n v="10"/>
    <n v="35.950000000000003"/>
    <x v="2"/>
    <x v="4"/>
    <x v="2"/>
    <b v="1"/>
    <x v="6"/>
    <x v="0"/>
    <x v="1"/>
  </r>
  <r>
    <n v="1000000062"/>
    <x v="62"/>
    <s v="Richard Johnston"/>
    <s v="['Beef', 'Bread', 'Dustpan']"/>
    <n v="5"/>
    <n v="88.59"/>
    <x v="1"/>
    <x v="3"/>
    <x v="1"/>
    <b v="0"/>
    <x v="1"/>
    <x v="0"/>
    <x v="1"/>
  </r>
  <r>
    <n v="1000000063"/>
    <x v="63"/>
    <s v="Rebecca Vasquez"/>
    <s v="['Pancake Mix', 'Dustpan', 'Laundry Detergent', 'Garden Hose']"/>
    <n v="6"/>
    <n v="66.87"/>
    <x v="0"/>
    <x v="2"/>
    <x v="2"/>
    <b v="1"/>
    <x v="1"/>
    <x v="3"/>
    <x v="1"/>
  </r>
  <r>
    <n v="1000000064"/>
    <x v="64"/>
    <s v="Samuel Mays"/>
    <s v="['Cereal Bars', 'Air Freshener', 'Honey', 'Laundry Detergent']"/>
    <n v="3"/>
    <n v="37.35"/>
    <x v="1"/>
    <x v="1"/>
    <x v="2"/>
    <b v="1"/>
    <x v="2"/>
    <x v="0"/>
    <x v="2"/>
  </r>
  <r>
    <n v="1000000065"/>
    <x v="65"/>
    <s v="Karen Williams"/>
    <s v="['Banana', 'Garden Hose', 'Extension Cords', 'Toothpaste', 'Syrup']"/>
    <n v="6"/>
    <n v="60.37"/>
    <x v="3"/>
    <x v="5"/>
    <x v="2"/>
    <b v="0"/>
    <x v="2"/>
    <x v="2"/>
    <x v="1"/>
  </r>
  <r>
    <n v="1000000066"/>
    <x v="66"/>
    <s v="Ian Murphy"/>
    <s v="['Shrimp']"/>
    <n v="8"/>
    <n v="51.42"/>
    <x v="2"/>
    <x v="7"/>
    <x v="2"/>
    <b v="1"/>
    <x v="0"/>
    <x v="0"/>
    <x v="0"/>
  </r>
  <r>
    <n v="1000000067"/>
    <x v="67"/>
    <s v="Elizabeth Li"/>
    <s v="['Broom', 'Pickles', 'Cleaning Rags']"/>
    <n v="1"/>
    <n v="54.04"/>
    <x v="0"/>
    <x v="7"/>
    <x v="1"/>
    <b v="1"/>
    <x v="3"/>
    <x v="2"/>
    <x v="0"/>
  </r>
  <r>
    <n v="1000000068"/>
    <x v="68"/>
    <s v="Brenda Chase"/>
    <s v="['Peanut Butter', 'Lawn Mower', 'Syrup', 'Chicken', 'Toothpaste']"/>
    <n v="3"/>
    <n v="67.430000000000007"/>
    <x v="1"/>
    <x v="8"/>
    <x v="2"/>
    <b v="1"/>
    <x v="7"/>
    <x v="1"/>
    <x v="0"/>
  </r>
  <r>
    <n v="1000000069"/>
    <x v="69"/>
    <s v="Anthony Miranda"/>
    <s v="['Peanut Butter', 'Razors']"/>
    <n v="8"/>
    <n v="48.83"/>
    <x v="1"/>
    <x v="6"/>
    <x v="0"/>
    <b v="0"/>
    <x v="3"/>
    <x v="3"/>
    <x v="1"/>
  </r>
  <r>
    <n v="1000000070"/>
    <x v="70"/>
    <s v="Patricia Adams"/>
    <s v="['Mop', 'Laundry Detergent', 'Vacuum Cleaner']"/>
    <n v="8"/>
    <n v="19.399999999999999"/>
    <x v="2"/>
    <x v="9"/>
    <x v="3"/>
    <b v="0"/>
    <x v="6"/>
    <x v="1"/>
    <x v="2"/>
  </r>
  <r>
    <n v="1000000071"/>
    <x v="71"/>
    <s v="Jacob Douglas"/>
    <s v="['Eggs', 'Shower Gel', 'Olive Oil']"/>
    <n v="1"/>
    <n v="12.73"/>
    <x v="0"/>
    <x v="2"/>
    <x v="3"/>
    <b v="0"/>
    <x v="3"/>
    <x v="2"/>
    <x v="2"/>
  </r>
  <r>
    <n v="1000000072"/>
    <x v="72"/>
    <s v="Martin Gonzalez"/>
    <s v="['Vinegar']"/>
    <n v="5"/>
    <n v="77.41"/>
    <x v="0"/>
    <x v="0"/>
    <x v="1"/>
    <b v="0"/>
    <x v="4"/>
    <x v="2"/>
    <x v="0"/>
  </r>
  <r>
    <n v="1000000073"/>
    <x v="73"/>
    <s v="Sherry Nunez"/>
    <s v="['Shaving Cream', 'Apple', 'Pickles']"/>
    <n v="4"/>
    <n v="78.52"/>
    <x v="2"/>
    <x v="7"/>
    <x v="4"/>
    <b v="1"/>
    <x v="0"/>
    <x v="3"/>
    <x v="0"/>
  </r>
  <r>
    <n v="1000000074"/>
    <x v="74"/>
    <s v="Joshua Livingston"/>
    <s v="['Canned Soup', 'Tea']"/>
    <n v="2"/>
    <n v="16.899999999999999"/>
    <x v="0"/>
    <x v="8"/>
    <x v="4"/>
    <b v="1"/>
    <x v="5"/>
    <x v="2"/>
    <x v="2"/>
  </r>
  <r>
    <n v="1000000075"/>
    <x v="75"/>
    <s v="Kimberly Morton"/>
    <s v="['Syrup', 'Salmon']"/>
    <n v="1"/>
    <n v="40.11"/>
    <x v="3"/>
    <x v="6"/>
    <x v="5"/>
    <b v="0"/>
    <x v="7"/>
    <x v="3"/>
    <x v="2"/>
  </r>
  <r>
    <n v="1000000076"/>
    <x v="76"/>
    <s v="Robin Graham"/>
    <s v="['Peanut Butter']"/>
    <n v="6"/>
    <n v="57.04"/>
    <x v="1"/>
    <x v="9"/>
    <x v="0"/>
    <b v="0"/>
    <x v="0"/>
    <x v="0"/>
    <x v="1"/>
  </r>
  <r>
    <n v="1000000077"/>
    <x v="77"/>
    <s v="Donna Randall"/>
    <s v="['Hair Gel', 'Tomatoes', 'Cheese', 'Power Strips', 'Beef']"/>
    <n v="6"/>
    <n v="68.290000000000006"/>
    <x v="0"/>
    <x v="0"/>
    <x v="1"/>
    <b v="0"/>
    <x v="2"/>
    <x v="1"/>
    <x v="1"/>
  </r>
  <r>
    <n v="1000000078"/>
    <x v="78"/>
    <s v="Alfred Schneider"/>
    <s v="['Light Bulbs', 'Tissues']"/>
    <n v="4"/>
    <n v="41.24"/>
    <x v="3"/>
    <x v="8"/>
    <x v="4"/>
    <b v="0"/>
    <x v="0"/>
    <x v="1"/>
    <x v="0"/>
  </r>
  <r>
    <n v="1000000079"/>
    <x v="79"/>
    <s v="Taylor Wilson"/>
    <s v="['Olive Oil', 'Banana']"/>
    <n v="4"/>
    <n v="72.11"/>
    <x v="1"/>
    <x v="0"/>
    <x v="2"/>
    <b v="1"/>
    <x v="1"/>
    <x v="0"/>
    <x v="1"/>
  </r>
  <r>
    <n v="1000000080"/>
    <x v="80"/>
    <s v="Matthew Henderson"/>
    <s v="['Mop', 'Jam', 'Cheese', 'Hand Sanitizer']"/>
    <n v="1"/>
    <n v="65.959999999999994"/>
    <x v="0"/>
    <x v="7"/>
    <x v="5"/>
    <b v="1"/>
    <x v="7"/>
    <x v="3"/>
    <x v="2"/>
  </r>
  <r>
    <n v="1000000081"/>
    <x v="81"/>
    <s v="Christina Hoover"/>
    <s v="['Diapers', 'Light Bulbs', 'Soda', 'Toothpaste']"/>
    <n v="4"/>
    <n v="80.75"/>
    <x v="2"/>
    <x v="5"/>
    <x v="0"/>
    <b v="1"/>
    <x v="0"/>
    <x v="0"/>
    <x v="2"/>
  </r>
  <r>
    <n v="1000000082"/>
    <x v="82"/>
    <s v="Paul Tate"/>
    <s v="['Light Bulbs', 'Hair Gel', 'Mustard', 'Iron']"/>
    <n v="9"/>
    <n v="68.09"/>
    <x v="3"/>
    <x v="5"/>
    <x v="1"/>
    <b v="1"/>
    <x v="3"/>
    <x v="0"/>
    <x v="1"/>
  </r>
  <r>
    <n v="1000000083"/>
    <x v="83"/>
    <s v="Melissa Rose"/>
    <s v="['Hand Sanitizer', 'Dish Soap', 'Deodorant', 'Cereal']"/>
    <n v="8"/>
    <n v="16.170000000000002"/>
    <x v="3"/>
    <x v="6"/>
    <x v="3"/>
    <b v="0"/>
    <x v="7"/>
    <x v="2"/>
    <x v="2"/>
  </r>
  <r>
    <n v="1000000084"/>
    <x v="84"/>
    <s v="Brittany Simmons"/>
    <s v="['Ketchup', 'Toothpaste']"/>
    <n v="5"/>
    <n v="89.56"/>
    <x v="0"/>
    <x v="3"/>
    <x v="4"/>
    <b v="0"/>
    <x v="4"/>
    <x v="0"/>
    <x v="2"/>
  </r>
  <r>
    <n v="1000000085"/>
    <x v="85"/>
    <s v="Henry Kirk"/>
    <s v="['Toothpaste', 'Dishware', 'Bread', 'Eggs']"/>
    <n v="5"/>
    <n v="54.94"/>
    <x v="2"/>
    <x v="8"/>
    <x v="4"/>
    <b v="0"/>
    <x v="4"/>
    <x v="0"/>
    <x v="0"/>
  </r>
  <r>
    <n v="1000000086"/>
    <x v="86"/>
    <s v="James Richardson"/>
    <s v="['Iron', 'Plant Fertilizer', 'Eggs', 'Pickles']"/>
    <n v="1"/>
    <n v="93.74"/>
    <x v="1"/>
    <x v="6"/>
    <x v="1"/>
    <b v="0"/>
    <x v="3"/>
    <x v="1"/>
    <x v="0"/>
  </r>
  <r>
    <n v="1000000087"/>
    <x v="87"/>
    <s v="Keith Rodriguez"/>
    <s v="['Air Freshener', 'Chicken', 'Shaving Cream']"/>
    <n v="10"/>
    <n v="67.87"/>
    <x v="1"/>
    <x v="3"/>
    <x v="1"/>
    <b v="1"/>
    <x v="3"/>
    <x v="2"/>
    <x v="0"/>
  </r>
  <r>
    <n v="1000000088"/>
    <x v="88"/>
    <s v="Marie Owen"/>
    <s v="['Plant Fertilizer', 'Tuna', 'Orange']"/>
    <n v="5"/>
    <n v="8.4600000000000009"/>
    <x v="1"/>
    <x v="6"/>
    <x v="2"/>
    <b v="1"/>
    <x v="5"/>
    <x v="0"/>
    <x v="2"/>
  </r>
  <r>
    <n v="1000000089"/>
    <x v="89"/>
    <s v="James Adams"/>
    <s v="['Mop']"/>
    <n v="8"/>
    <n v="45.75"/>
    <x v="2"/>
    <x v="5"/>
    <x v="3"/>
    <b v="1"/>
    <x v="6"/>
    <x v="3"/>
    <x v="1"/>
  </r>
  <r>
    <n v="1000000090"/>
    <x v="90"/>
    <s v="Troy Durham"/>
    <s v="['Baby Wipes']"/>
    <n v="7"/>
    <n v="34.090000000000003"/>
    <x v="3"/>
    <x v="0"/>
    <x v="5"/>
    <b v="0"/>
    <x v="5"/>
    <x v="1"/>
    <x v="0"/>
  </r>
  <r>
    <n v="1000000091"/>
    <x v="91"/>
    <s v="Dr. Adam Chan"/>
    <s v="['Beef', 'Cleaning Spray', 'Sponges']"/>
    <n v="1"/>
    <n v="41.48"/>
    <x v="2"/>
    <x v="7"/>
    <x v="5"/>
    <b v="0"/>
    <x v="1"/>
    <x v="0"/>
    <x v="2"/>
  </r>
  <r>
    <n v="1000000092"/>
    <x v="92"/>
    <s v="Mark Blankenship"/>
    <s v="['Tissues', 'Cheese', 'Toilet Paper', 'Cereal Bars', 'Cereal Bars']"/>
    <n v="4"/>
    <n v="37.380000000000003"/>
    <x v="0"/>
    <x v="7"/>
    <x v="3"/>
    <b v="1"/>
    <x v="3"/>
    <x v="2"/>
    <x v="1"/>
  </r>
  <r>
    <n v="1000000093"/>
    <x v="93"/>
    <s v="Brooke Bennett"/>
    <s v="['Water', 'Olive Oil']"/>
    <n v="4"/>
    <n v="55.81"/>
    <x v="1"/>
    <x v="4"/>
    <x v="5"/>
    <b v="0"/>
    <x v="2"/>
    <x v="3"/>
    <x v="1"/>
  </r>
  <r>
    <n v="1000000094"/>
    <x v="94"/>
    <s v="Dale Castaneda"/>
    <s v="['Banana', 'Toothpaste', 'Iron']"/>
    <n v="1"/>
    <n v="90.7"/>
    <x v="2"/>
    <x v="3"/>
    <x v="3"/>
    <b v="0"/>
    <x v="5"/>
    <x v="3"/>
    <x v="1"/>
  </r>
  <r>
    <n v="1000000095"/>
    <x v="95"/>
    <s v="Jim Wells"/>
    <s v="['Potatoes', 'Cleaning Spray']"/>
    <n v="3"/>
    <n v="32.25"/>
    <x v="0"/>
    <x v="3"/>
    <x v="5"/>
    <b v="0"/>
    <x v="7"/>
    <x v="3"/>
    <x v="1"/>
  </r>
  <r>
    <n v="1000000096"/>
    <x v="96"/>
    <s v="Michael Johnson"/>
    <s v="['Cleaning Rags', 'Syrup', 'BBQ Sauce']"/>
    <n v="8"/>
    <n v="94.76"/>
    <x v="1"/>
    <x v="6"/>
    <x v="3"/>
    <b v="0"/>
    <x v="5"/>
    <x v="3"/>
    <x v="2"/>
  </r>
  <r>
    <n v="1000000097"/>
    <x v="97"/>
    <s v="Lisa Delgado"/>
    <s v="['Dish Soap', 'Apple']"/>
    <n v="5"/>
    <n v="50.2"/>
    <x v="0"/>
    <x v="7"/>
    <x v="0"/>
    <b v="1"/>
    <x v="1"/>
    <x v="0"/>
    <x v="0"/>
  </r>
  <r>
    <n v="1000000098"/>
    <x v="98"/>
    <s v="Matthew Jackson"/>
    <s v="['Salmon', 'Dustpan', 'Yogurt']"/>
    <n v="8"/>
    <n v="29.4"/>
    <x v="0"/>
    <x v="7"/>
    <x v="1"/>
    <b v="0"/>
    <x v="1"/>
    <x v="0"/>
    <x v="0"/>
  </r>
  <r>
    <n v="1000000099"/>
    <x v="99"/>
    <s v="Nicholas Stephens"/>
    <s v="['Eggs']"/>
    <n v="7"/>
    <n v="27.53"/>
    <x v="2"/>
    <x v="3"/>
    <x v="5"/>
    <b v="0"/>
    <x v="5"/>
    <x v="1"/>
    <x v="0"/>
  </r>
  <r>
    <n v="1000000100"/>
    <x v="100"/>
    <s v="Jean Moore"/>
    <s v="['Deodorant']"/>
    <n v="10"/>
    <n v="71.36"/>
    <x v="0"/>
    <x v="2"/>
    <x v="0"/>
    <b v="0"/>
    <x v="7"/>
    <x v="2"/>
    <x v="2"/>
  </r>
  <r>
    <n v="1000000101"/>
    <x v="101"/>
    <s v="Daniel Johnson"/>
    <s v="['Canned Soup']"/>
    <n v="8"/>
    <n v="8.2200000000000006"/>
    <x v="0"/>
    <x v="5"/>
    <x v="5"/>
    <b v="0"/>
    <x v="4"/>
    <x v="1"/>
    <x v="0"/>
  </r>
  <r>
    <n v="1000000102"/>
    <x v="102"/>
    <s v="Maria Murray MD"/>
    <s v="['Soda', 'Laundry Detergent', 'Vinegar', 'Toothbrush']"/>
    <n v="1"/>
    <n v="92.73"/>
    <x v="2"/>
    <x v="0"/>
    <x v="2"/>
    <b v="0"/>
    <x v="6"/>
    <x v="0"/>
    <x v="0"/>
  </r>
  <r>
    <n v="1000000103"/>
    <x v="103"/>
    <s v="Scott Hunter"/>
    <s v="['Bath Towels', 'Canned Soup']"/>
    <n v="10"/>
    <n v="93.1"/>
    <x v="1"/>
    <x v="1"/>
    <x v="5"/>
    <b v="0"/>
    <x v="1"/>
    <x v="3"/>
    <x v="2"/>
  </r>
  <r>
    <n v="1000000104"/>
    <x v="104"/>
    <s v="Sean Moore"/>
    <s v="['Air Freshener', 'Tuna', 'Onions', 'Baby Wipes']"/>
    <n v="2"/>
    <n v="12.24"/>
    <x v="1"/>
    <x v="5"/>
    <x v="2"/>
    <b v="1"/>
    <x v="3"/>
    <x v="1"/>
    <x v="0"/>
  </r>
  <r>
    <n v="1000000105"/>
    <x v="105"/>
    <s v="Alexander Harmon"/>
    <s v="['Trash Bags', 'Feminine Hygiene Products', 'Lawn Mower', 'Ice Cream']"/>
    <n v="10"/>
    <n v="20.13"/>
    <x v="1"/>
    <x v="6"/>
    <x v="4"/>
    <b v="1"/>
    <x v="2"/>
    <x v="3"/>
    <x v="2"/>
  </r>
  <r>
    <n v="1000000106"/>
    <x v="106"/>
    <s v="David Rodriguez"/>
    <s v="['Tuna', 'Coffee', 'Trash Cans']"/>
    <n v="8"/>
    <n v="48.09"/>
    <x v="0"/>
    <x v="8"/>
    <x v="3"/>
    <b v="1"/>
    <x v="3"/>
    <x v="2"/>
    <x v="1"/>
  </r>
  <r>
    <n v="1000000107"/>
    <x v="107"/>
    <s v="Linda Davis"/>
    <s v="['Sponges', 'Cleaning Rags', 'Razors', 'Tuna']"/>
    <n v="2"/>
    <n v="37.71"/>
    <x v="1"/>
    <x v="6"/>
    <x v="3"/>
    <b v="0"/>
    <x v="3"/>
    <x v="0"/>
    <x v="2"/>
  </r>
  <r>
    <n v="1000000108"/>
    <x v="108"/>
    <s v="Linda Hayden"/>
    <s v="['Razors', 'Light Bulbs', 'Trash Cans', 'Honey']"/>
    <n v="9"/>
    <n v="30.3"/>
    <x v="2"/>
    <x v="6"/>
    <x v="4"/>
    <b v="0"/>
    <x v="7"/>
    <x v="2"/>
    <x v="1"/>
  </r>
  <r>
    <n v="1000000109"/>
    <x v="109"/>
    <s v="Connie Baker"/>
    <s v="['Mustard', 'Soap', 'Bread', 'Pasta', 'Shaving Cream']"/>
    <n v="7"/>
    <n v="57.89"/>
    <x v="0"/>
    <x v="6"/>
    <x v="2"/>
    <b v="1"/>
    <x v="5"/>
    <x v="0"/>
    <x v="2"/>
  </r>
  <r>
    <n v="1000000110"/>
    <x v="110"/>
    <s v="Mr. Kenneth Watson"/>
    <s v="['Chips', 'Canned Soup', 'Cleaning Spray', 'Olive Oil']"/>
    <n v="8"/>
    <n v="15.34"/>
    <x v="1"/>
    <x v="7"/>
    <x v="2"/>
    <b v="1"/>
    <x v="7"/>
    <x v="0"/>
    <x v="1"/>
  </r>
  <r>
    <n v="1000000111"/>
    <x v="111"/>
    <s v="Maurice Brown"/>
    <s v="['Air Freshener', 'Laundry Detergent', 'Cleaning Spray', 'Shaving Cream', 'Ketchup']"/>
    <n v="10"/>
    <n v="90.93"/>
    <x v="1"/>
    <x v="7"/>
    <x v="1"/>
    <b v="1"/>
    <x v="7"/>
    <x v="1"/>
    <x v="0"/>
  </r>
  <r>
    <n v="1000000112"/>
    <x v="112"/>
    <s v="William Wood"/>
    <s v="['Tissues', 'Insect Repellent', 'Bread', 'Pancake Mix']"/>
    <n v="2"/>
    <n v="63.34"/>
    <x v="1"/>
    <x v="9"/>
    <x v="3"/>
    <b v="1"/>
    <x v="4"/>
    <x v="1"/>
    <x v="0"/>
  </r>
  <r>
    <n v="1000000113"/>
    <x v="113"/>
    <s v="Javier Ryan"/>
    <s v="['Feminine Hygiene Products', 'Pickles']"/>
    <n v="2"/>
    <n v="48.86"/>
    <x v="2"/>
    <x v="7"/>
    <x v="4"/>
    <b v="0"/>
    <x v="7"/>
    <x v="2"/>
    <x v="2"/>
  </r>
  <r>
    <n v="1000000114"/>
    <x v="114"/>
    <s v="Mr. David Casey"/>
    <s v="['Pasta', 'Orange']"/>
    <n v="1"/>
    <n v="44.08"/>
    <x v="3"/>
    <x v="0"/>
    <x v="4"/>
    <b v="1"/>
    <x v="7"/>
    <x v="0"/>
    <x v="0"/>
  </r>
  <r>
    <n v="1000000115"/>
    <x v="115"/>
    <s v="Ms. Megan Hicks"/>
    <s v="['Shower Gel', 'Pickles', 'Bread', 'Sponges']"/>
    <n v="1"/>
    <n v="79.64"/>
    <x v="1"/>
    <x v="1"/>
    <x v="3"/>
    <b v="1"/>
    <x v="7"/>
    <x v="1"/>
    <x v="0"/>
  </r>
  <r>
    <n v="1000000116"/>
    <x v="116"/>
    <s v="Debbie Tucker"/>
    <s v="['Apple']"/>
    <n v="5"/>
    <n v="43.61"/>
    <x v="0"/>
    <x v="1"/>
    <x v="3"/>
    <b v="1"/>
    <x v="7"/>
    <x v="1"/>
    <x v="1"/>
  </r>
  <r>
    <n v="1000000117"/>
    <x v="117"/>
    <s v="Joseph Guzman"/>
    <s v="['Spinach', 'Chips', 'Diapers', 'Tissues']"/>
    <n v="6"/>
    <n v="25.23"/>
    <x v="2"/>
    <x v="1"/>
    <x v="5"/>
    <b v="0"/>
    <x v="5"/>
    <x v="1"/>
    <x v="1"/>
  </r>
  <r>
    <n v="1000000118"/>
    <x v="118"/>
    <s v="Xavier Tran"/>
    <s v="['Yogurt', 'Power Strips']"/>
    <n v="7"/>
    <n v="13.28"/>
    <x v="2"/>
    <x v="6"/>
    <x v="1"/>
    <b v="1"/>
    <x v="7"/>
    <x v="1"/>
    <x v="0"/>
  </r>
  <r>
    <n v="1000000119"/>
    <x v="119"/>
    <s v="Janet Sullivan"/>
    <s v="['Extension Cords', 'Insect Repellent']"/>
    <n v="1"/>
    <n v="60.7"/>
    <x v="3"/>
    <x v="9"/>
    <x v="2"/>
    <b v="0"/>
    <x v="3"/>
    <x v="0"/>
    <x v="0"/>
  </r>
  <r>
    <n v="1000000120"/>
    <x v="120"/>
    <s v="James Ray"/>
    <s v="['Cleaning Spray', 'Trash Cans']"/>
    <n v="8"/>
    <n v="53.89"/>
    <x v="0"/>
    <x v="5"/>
    <x v="2"/>
    <b v="0"/>
    <x v="6"/>
    <x v="3"/>
    <x v="2"/>
  </r>
  <r>
    <n v="1000000121"/>
    <x v="121"/>
    <s v="Jason Marshall"/>
    <s v="['Vacuum Cleaner', 'Spinach']"/>
    <n v="8"/>
    <n v="14.37"/>
    <x v="3"/>
    <x v="0"/>
    <x v="5"/>
    <b v="0"/>
    <x v="0"/>
    <x v="0"/>
    <x v="1"/>
  </r>
  <r>
    <n v="1000000122"/>
    <x v="122"/>
    <s v="Alexander Wright"/>
    <s v="['Shampoo']"/>
    <n v="9"/>
    <n v="56.04"/>
    <x v="0"/>
    <x v="3"/>
    <x v="2"/>
    <b v="1"/>
    <x v="4"/>
    <x v="2"/>
    <x v="0"/>
  </r>
  <r>
    <n v="1000000123"/>
    <x v="123"/>
    <s v="Cathy Jackson"/>
    <s v="['Bath Towels', 'Feminine Hygiene Products']"/>
    <n v="4"/>
    <n v="44.49"/>
    <x v="2"/>
    <x v="7"/>
    <x v="2"/>
    <b v="0"/>
    <x v="0"/>
    <x v="2"/>
    <x v="1"/>
  </r>
  <r>
    <n v="1000000124"/>
    <x v="124"/>
    <s v="Mercedes Anderson"/>
    <s v="['Ketchup', 'Eggs', 'Mop', 'Mop']"/>
    <n v="7"/>
    <n v="66.28"/>
    <x v="3"/>
    <x v="7"/>
    <x v="4"/>
    <b v="0"/>
    <x v="0"/>
    <x v="1"/>
    <x v="0"/>
  </r>
  <r>
    <n v="1000000125"/>
    <x v="125"/>
    <s v="Anthony Christensen"/>
    <s v="['Pasta', 'Coffee', 'Canned Soup']"/>
    <n v="8"/>
    <n v="23.96"/>
    <x v="1"/>
    <x v="3"/>
    <x v="5"/>
    <b v="1"/>
    <x v="2"/>
    <x v="2"/>
    <x v="0"/>
  </r>
  <r>
    <n v="1000000126"/>
    <x v="126"/>
    <s v="Cameron Walker"/>
    <s v="['Canned Soup', 'Toothpaste', 'Olive Oil']"/>
    <n v="10"/>
    <n v="68.06"/>
    <x v="3"/>
    <x v="1"/>
    <x v="2"/>
    <b v="1"/>
    <x v="1"/>
    <x v="0"/>
    <x v="0"/>
  </r>
  <r>
    <n v="1000000127"/>
    <x v="127"/>
    <s v="Paul Brown"/>
    <s v="['Soap', 'Trash Cans', 'Shampoo', 'Hair Gel', 'Eggs']"/>
    <n v="7"/>
    <n v="33.04"/>
    <x v="1"/>
    <x v="4"/>
    <x v="3"/>
    <b v="1"/>
    <x v="1"/>
    <x v="2"/>
    <x v="1"/>
  </r>
  <r>
    <n v="1000000128"/>
    <x v="128"/>
    <s v="Kimberly Stevens"/>
    <s v="['Paper Towels']"/>
    <n v="6"/>
    <n v="34.28"/>
    <x v="1"/>
    <x v="0"/>
    <x v="0"/>
    <b v="0"/>
    <x v="1"/>
    <x v="1"/>
    <x v="0"/>
  </r>
  <r>
    <n v="1000000129"/>
    <x v="129"/>
    <s v="Jordan Garcia"/>
    <s v="['Rice', 'Broom', 'Insect Repellent', 'Shower Gel']"/>
    <n v="4"/>
    <n v="24.12"/>
    <x v="0"/>
    <x v="2"/>
    <x v="4"/>
    <b v="1"/>
    <x v="3"/>
    <x v="3"/>
    <x v="2"/>
  </r>
  <r>
    <n v="1000000130"/>
    <x v="130"/>
    <s v="Ryan Joseph II"/>
    <s v="['Tea', 'Ironing Board']"/>
    <n v="8"/>
    <n v="9.31"/>
    <x v="2"/>
    <x v="7"/>
    <x v="4"/>
    <b v="0"/>
    <x v="5"/>
    <x v="0"/>
    <x v="1"/>
  </r>
  <r>
    <n v="1000000131"/>
    <x v="131"/>
    <s v="Debbie Brown"/>
    <s v="['Hand Sanitizer', 'Tomatoes', 'Yogurt', 'Hair Gel']"/>
    <n v="10"/>
    <n v="86.98"/>
    <x v="0"/>
    <x v="4"/>
    <x v="2"/>
    <b v="0"/>
    <x v="6"/>
    <x v="3"/>
    <x v="1"/>
  </r>
  <r>
    <n v="1000000132"/>
    <x v="132"/>
    <s v="Dawn Pratt"/>
    <s v="['Carrots', 'Extension Cords']"/>
    <n v="5"/>
    <n v="83.34"/>
    <x v="0"/>
    <x v="9"/>
    <x v="5"/>
    <b v="0"/>
    <x v="6"/>
    <x v="2"/>
    <x v="2"/>
  </r>
  <r>
    <n v="1000000133"/>
    <x v="133"/>
    <s v="Madison Hill"/>
    <s v="['Carrots', 'Ice Cream', 'Orange', 'Hair Gel']"/>
    <n v="6"/>
    <n v="40.369999999999997"/>
    <x v="3"/>
    <x v="4"/>
    <x v="2"/>
    <b v="0"/>
    <x v="7"/>
    <x v="0"/>
    <x v="2"/>
  </r>
  <r>
    <n v="1000000134"/>
    <x v="134"/>
    <s v="Kelly Atkinson"/>
    <s v="['Hair Gel', 'Toothpaste', 'Dish Soap', 'Sponges', 'Spinach']"/>
    <n v="1"/>
    <n v="7.14"/>
    <x v="0"/>
    <x v="9"/>
    <x v="2"/>
    <b v="0"/>
    <x v="7"/>
    <x v="2"/>
    <x v="2"/>
  </r>
  <r>
    <n v="1000000135"/>
    <x v="135"/>
    <s v="Patricia Fuller"/>
    <s v="['Insect Repellent', 'Peanut Butter', 'Potatoes', 'Tissues', 'Trash Cans']"/>
    <n v="1"/>
    <n v="56.7"/>
    <x v="0"/>
    <x v="6"/>
    <x v="1"/>
    <b v="0"/>
    <x v="1"/>
    <x v="1"/>
    <x v="1"/>
  </r>
  <r>
    <n v="1000000136"/>
    <x v="136"/>
    <s v="Debra Brown"/>
    <s v="['Feminine Hygiene Products', 'Ironing Board', 'Power Strips', 'Tomatoes']"/>
    <n v="9"/>
    <n v="90.9"/>
    <x v="2"/>
    <x v="3"/>
    <x v="2"/>
    <b v="0"/>
    <x v="7"/>
    <x v="1"/>
    <x v="2"/>
  </r>
  <r>
    <n v="1000000137"/>
    <x v="137"/>
    <s v="Brett Hernandez"/>
    <s v="['Ketchup', 'Power Strips', 'Dustpan']"/>
    <n v="9"/>
    <n v="59.02"/>
    <x v="0"/>
    <x v="3"/>
    <x v="1"/>
    <b v="0"/>
    <x v="1"/>
    <x v="0"/>
    <x v="1"/>
  </r>
  <r>
    <n v="1000000138"/>
    <x v="138"/>
    <s v="Diane Hughes"/>
    <s v="['BBQ Sauce', 'Tuna', 'Honey']"/>
    <n v="3"/>
    <n v="36.46"/>
    <x v="0"/>
    <x v="8"/>
    <x v="0"/>
    <b v="1"/>
    <x v="5"/>
    <x v="2"/>
    <x v="0"/>
  </r>
  <r>
    <n v="1000000139"/>
    <x v="139"/>
    <s v="Jeffrey Jones"/>
    <s v="['Tuna', 'Toilet Paper']"/>
    <n v="2"/>
    <n v="73.349999999999994"/>
    <x v="2"/>
    <x v="8"/>
    <x v="1"/>
    <b v="0"/>
    <x v="6"/>
    <x v="0"/>
    <x v="0"/>
  </r>
  <r>
    <n v="1000000140"/>
    <x v="140"/>
    <s v="Frank Torres"/>
    <s v="['Cheese', 'Shaving Cream']"/>
    <n v="5"/>
    <n v="52.95"/>
    <x v="0"/>
    <x v="1"/>
    <x v="3"/>
    <b v="1"/>
    <x v="7"/>
    <x v="3"/>
    <x v="0"/>
  </r>
  <r>
    <n v="1000000141"/>
    <x v="141"/>
    <s v="Daniel Mcguire"/>
    <s v="['Coffee', 'Laundry Detergent', 'Jam']"/>
    <n v="1"/>
    <n v="77.42"/>
    <x v="2"/>
    <x v="7"/>
    <x v="0"/>
    <b v="1"/>
    <x v="1"/>
    <x v="1"/>
    <x v="0"/>
  </r>
  <r>
    <n v="1000000142"/>
    <x v="142"/>
    <s v="Russell Harmon"/>
    <s v="['Deodorant', 'Ironing Board', 'Spinach']"/>
    <n v="7"/>
    <n v="53.23"/>
    <x v="1"/>
    <x v="7"/>
    <x v="1"/>
    <b v="0"/>
    <x v="4"/>
    <x v="3"/>
    <x v="1"/>
  </r>
  <r>
    <n v="1000000143"/>
    <x v="143"/>
    <s v="John Benitez"/>
    <s v="['Ketchup', 'Razors', 'Shaving Cream']"/>
    <n v="4"/>
    <n v="71.540000000000006"/>
    <x v="2"/>
    <x v="7"/>
    <x v="2"/>
    <b v="1"/>
    <x v="7"/>
    <x v="1"/>
    <x v="2"/>
  </r>
  <r>
    <n v="1000000144"/>
    <x v="144"/>
    <s v="Wesley Delacruz"/>
    <s v="['Dish Soap', 'Ironing Board', 'Carrots', 'Light Bulbs']"/>
    <n v="6"/>
    <n v="78.930000000000007"/>
    <x v="1"/>
    <x v="1"/>
    <x v="3"/>
    <b v="1"/>
    <x v="7"/>
    <x v="1"/>
    <x v="0"/>
  </r>
  <r>
    <n v="1000000145"/>
    <x v="145"/>
    <s v="Shannon Reid"/>
    <s v="['Hand Sanitizer']"/>
    <n v="4"/>
    <n v="76.86"/>
    <x v="0"/>
    <x v="6"/>
    <x v="5"/>
    <b v="1"/>
    <x v="4"/>
    <x v="3"/>
    <x v="2"/>
  </r>
  <r>
    <n v="1000000146"/>
    <x v="146"/>
    <s v="Steven Brown"/>
    <s v="['Laundry Detergent', 'BBQ Sauce', 'Butter', 'Garden Hose', 'Paper Towels']"/>
    <n v="2"/>
    <n v="25.04"/>
    <x v="3"/>
    <x v="7"/>
    <x v="3"/>
    <b v="1"/>
    <x v="6"/>
    <x v="0"/>
    <x v="2"/>
  </r>
  <r>
    <n v="1000000147"/>
    <x v="147"/>
    <s v="Harold Miller"/>
    <s v="['Peanut Butter', 'Coffee']"/>
    <n v="1"/>
    <n v="62.25"/>
    <x v="1"/>
    <x v="0"/>
    <x v="0"/>
    <b v="1"/>
    <x v="5"/>
    <x v="2"/>
    <x v="2"/>
  </r>
  <r>
    <n v="1000000148"/>
    <x v="148"/>
    <s v="Jessica Middleton"/>
    <s v="['Chips', 'Broom', 'Paper Towels']"/>
    <n v="6"/>
    <n v="45.81"/>
    <x v="3"/>
    <x v="3"/>
    <x v="2"/>
    <b v="0"/>
    <x v="5"/>
    <x v="0"/>
    <x v="0"/>
  </r>
  <r>
    <n v="1000000149"/>
    <x v="149"/>
    <s v="Luke Bell"/>
    <s v="['Orange', 'Orange']"/>
    <n v="4"/>
    <n v="47.73"/>
    <x v="3"/>
    <x v="2"/>
    <x v="0"/>
    <b v="1"/>
    <x v="3"/>
    <x v="3"/>
    <x v="2"/>
  </r>
  <r>
    <n v="1000000150"/>
    <x v="150"/>
    <s v="James Morales"/>
    <s v="['Potatoes', 'Light Bulbs', 'Toothbrush']"/>
    <n v="2"/>
    <n v="58.89"/>
    <x v="3"/>
    <x v="6"/>
    <x v="1"/>
    <b v="0"/>
    <x v="1"/>
    <x v="0"/>
    <x v="0"/>
  </r>
  <r>
    <n v="1000000151"/>
    <x v="151"/>
    <s v="Ian Wilkinson"/>
    <s v="['Pancake Mix', 'Cheese', 'Insect Repellent', 'Beef', 'Bread']"/>
    <n v="9"/>
    <n v="65.150000000000006"/>
    <x v="3"/>
    <x v="1"/>
    <x v="2"/>
    <b v="1"/>
    <x v="5"/>
    <x v="3"/>
    <x v="1"/>
  </r>
  <r>
    <n v="1000000152"/>
    <x v="152"/>
    <s v="Jason Andrade"/>
    <s v="['Onions']"/>
    <n v="8"/>
    <n v="73.23"/>
    <x v="2"/>
    <x v="0"/>
    <x v="4"/>
    <b v="1"/>
    <x v="1"/>
    <x v="1"/>
    <x v="0"/>
  </r>
  <r>
    <n v="1000000153"/>
    <x v="153"/>
    <s v="Zachary Anderson"/>
    <s v="['Air Freshener', 'Sponges']"/>
    <n v="10"/>
    <n v="54.02"/>
    <x v="1"/>
    <x v="5"/>
    <x v="3"/>
    <b v="1"/>
    <x v="7"/>
    <x v="2"/>
    <x v="1"/>
  </r>
  <r>
    <n v="1000000154"/>
    <x v="154"/>
    <s v="Michael Perkins"/>
    <s v="['Air Freshener']"/>
    <n v="9"/>
    <n v="87.79"/>
    <x v="2"/>
    <x v="6"/>
    <x v="0"/>
    <b v="0"/>
    <x v="2"/>
    <x v="3"/>
    <x v="2"/>
  </r>
  <r>
    <n v="1000000155"/>
    <x v="155"/>
    <s v="Andre Davis"/>
    <s v="['Spinach']"/>
    <n v="6"/>
    <n v="36.1"/>
    <x v="0"/>
    <x v="0"/>
    <x v="4"/>
    <b v="0"/>
    <x v="6"/>
    <x v="1"/>
    <x v="2"/>
  </r>
  <r>
    <n v="1000000156"/>
    <x v="156"/>
    <s v="Heather Le"/>
    <s v="['Tea', 'Soda']"/>
    <n v="7"/>
    <n v="98.26"/>
    <x v="1"/>
    <x v="8"/>
    <x v="5"/>
    <b v="0"/>
    <x v="5"/>
    <x v="1"/>
    <x v="2"/>
  </r>
  <r>
    <n v="1000000157"/>
    <x v="157"/>
    <s v="Morgan Black"/>
    <s v="['Cereal Bars', 'Paper Towels', 'Orange']"/>
    <n v="6"/>
    <n v="44.73"/>
    <x v="0"/>
    <x v="1"/>
    <x v="0"/>
    <b v="1"/>
    <x v="7"/>
    <x v="0"/>
    <x v="0"/>
  </r>
  <r>
    <n v="1000000158"/>
    <x v="158"/>
    <s v="Chelsea Harding"/>
    <s v="['Hair Gel', 'Trash Bags', 'Power Strips', 'Feminine Hygiene Products']"/>
    <n v="5"/>
    <n v="35.83"/>
    <x v="3"/>
    <x v="6"/>
    <x v="0"/>
    <b v="1"/>
    <x v="6"/>
    <x v="3"/>
    <x v="1"/>
  </r>
  <r>
    <n v="1000000159"/>
    <x v="159"/>
    <s v="Tracy Bruce"/>
    <s v="['Paper Towels']"/>
    <n v="9"/>
    <n v="64.319999999999993"/>
    <x v="0"/>
    <x v="7"/>
    <x v="0"/>
    <b v="1"/>
    <x v="5"/>
    <x v="2"/>
    <x v="2"/>
  </r>
  <r>
    <n v="1000000160"/>
    <x v="160"/>
    <s v="Michael Perez"/>
    <s v="['Water', 'Mop']"/>
    <n v="9"/>
    <n v="71.790000000000006"/>
    <x v="0"/>
    <x v="5"/>
    <x v="4"/>
    <b v="0"/>
    <x v="6"/>
    <x v="3"/>
    <x v="1"/>
  </r>
  <r>
    <n v="1000000161"/>
    <x v="161"/>
    <s v="Ryan Atkinson"/>
    <s v="['Tissues', 'Jam']"/>
    <n v="9"/>
    <n v="86.43"/>
    <x v="0"/>
    <x v="7"/>
    <x v="1"/>
    <b v="1"/>
    <x v="3"/>
    <x v="3"/>
    <x v="0"/>
  </r>
  <r>
    <n v="1000000162"/>
    <x v="162"/>
    <s v="Trevor Miller"/>
    <s v="['Olive Oil']"/>
    <n v="5"/>
    <n v="57.3"/>
    <x v="0"/>
    <x v="3"/>
    <x v="3"/>
    <b v="1"/>
    <x v="6"/>
    <x v="0"/>
    <x v="1"/>
  </r>
  <r>
    <n v="1000000163"/>
    <x v="163"/>
    <s v="Lisa Taylor"/>
    <s v="['Plant Fertilizer', 'Shower Gel', 'Tuna']"/>
    <n v="6"/>
    <n v="21.9"/>
    <x v="1"/>
    <x v="3"/>
    <x v="1"/>
    <b v="0"/>
    <x v="2"/>
    <x v="0"/>
    <x v="2"/>
  </r>
  <r>
    <n v="1000000164"/>
    <x v="164"/>
    <s v="Erik Russell"/>
    <s v="['Pickles', 'Cleaning Spray']"/>
    <n v="7"/>
    <n v="53.99"/>
    <x v="1"/>
    <x v="0"/>
    <x v="2"/>
    <b v="1"/>
    <x v="5"/>
    <x v="0"/>
    <x v="0"/>
  </r>
  <r>
    <n v="1000000165"/>
    <x v="165"/>
    <s v="Ms. Bianca Larson DDS"/>
    <s v="['BBQ Sauce', 'Eggs', 'Shrimp']"/>
    <n v="10"/>
    <n v="38.130000000000003"/>
    <x v="0"/>
    <x v="5"/>
    <x v="2"/>
    <b v="0"/>
    <x v="2"/>
    <x v="3"/>
    <x v="2"/>
  </r>
  <r>
    <n v="1000000166"/>
    <x v="166"/>
    <s v="Gary Jones"/>
    <s v="['Trash Cans', 'Toothpaste', 'Broom', 'Baby Wipes', 'Tea']"/>
    <n v="5"/>
    <n v="53.09"/>
    <x v="1"/>
    <x v="8"/>
    <x v="2"/>
    <b v="0"/>
    <x v="1"/>
    <x v="1"/>
    <x v="1"/>
  </r>
  <r>
    <n v="1000000167"/>
    <x v="167"/>
    <s v="Douglas Gray"/>
    <s v="['Power Strips']"/>
    <n v="8"/>
    <n v="82.66"/>
    <x v="1"/>
    <x v="0"/>
    <x v="1"/>
    <b v="1"/>
    <x v="0"/>
    <x v="3"/>
    <x v="0"/>
  </r>
  <r>
    <n v="1000000168"/>
    <x v="168"/>
    <s v="Lori Davis"/>
    <s v="['Toothbrush', 'Toothbrush', 'BBQ Sauce', 'Dustpan', 'Banana']"/>
    <n v="4"/>
    <n v="63.4"/>
    <x v="2"/>
    <x v="6"/>
    <x v="5"/>
    <b v="1"/>
    <x v="5"/>
    <x v="2"/>
    <x v="0"/>
  </r>
  <r>
    <n v="1000000169"/>
    <x v="169"/>
    <s v="Kelly Hall MD"/>
    <s v="['Bread', 'Toothpaste', 'Syrup', 'Ironing Board', 'Cleaning Spray']"/>
    <n v="9"/>
    <n v="20.51"/>
    <x v="3"/>
    <x v="5"/>
    <x v="3"/>
    <b v="0"/>
    <x v="7"/>
    <x v="2"/>
    <x v="1"/>
  </r>
  <r>
    <n v="1000000170"/>
    <x v="170"/>
    <s v="Scott Johnson"/>
    <s v="['Onions', 'Peanut Butter', 'Tomatoes', 'Mayonnaise']"/>
    <n v="7"/>
    <n v="35.130000000000003"/>
    <x v="0"/>
    <x v="8"/>
    <x v="2"/>
    <b v="0"/>
    <x v="0"/>
    <x v="2"/>
    <x v="0"/>
  </r>
  <r>
    <n v="1000000171"/>
    <x v="171"/>
    <s v="Regina Andersen"/>
    <s v="['Syrup', 'Tuna']"/>
    <n v="7"/>
    <n v="55.45"/>
    <x v="0"/>
    <x v="0"/>
    <x v="0"/>
    <b v="1"/>
    <x v="6"/>
    <x v="0"/>
    <x v="2"/>
  </r>
  <r>
    <n v="1000000172"/>
    <x v="172"/>
    <s v="Jennifer Schmidt"/>
    <s v="['Power Strips', 'Eggs', 'Butter', 'Onions']"/>
    <n v="9"/>
    <n v="43.37"/>
    <x v="2"/>
    <x v="6"/>
    <x v="3"/>
    <b v="1"/>
    <x v="0"/>
    <x v="3"/>
    <x v="2"/>
  </r>
  <r>
    <n v="1000000173"/>
    <x v="173"/>
    <s v="Manuel Drake"/>
    <s v="['Tissues', 'Spinach', 'Light Bulbs']"/>
    <n v="7"/>
    <n v="51.27"/>
    <x v="0"/>
    <x v="8"/>
    <x v="5"/>
    <b v="0"/>
    <x v="5"/>
    <x v="3"/>
    <x v="0"/>
  </r>
  <r>
    <n v="1000000174"/>
    <x v="174"/>
    <s v="James Ho DDS"/>
    <s v="['Mustard', 'Trash Cans']"/>
    <n v="3"/>
    <n v="34.82"/>
    <x v="1"/>
    <x v="6"/>
    <x v="5"/>
    <b v="1"/>
    <x v="4"/>
    <x v="3"/>
    <x v="0"/>
  </r>
  <r>
    <n v="1000000175"/>
    <x v="175"/>
    <s v="Ryan Snow"/>
    <s v="['Honey', 'Cereal Bars', 'Sponges', 'Olive Oil']"/>
    <n v="2"/>
    <n v="90.68"/>
    <x v="1"/>
    <x v="6"/>
    <x v="5"/>
    <b v="1"/>
    <x v="7"/>
    <x v="0"/>
    <x v="1"/>
  </r>
  <r>
    <n v="1000000176"/>
    <x v="176"/>
    <s v="Jessica Nolan"/>
    <s v="['BBQ Sauce', 'Cleaning Spray', 'Broom']"/>
    <n v="8"/>
    <n v="85.09"/>
    <x v="3"/>
    <x v="6"/>
    <x v="0"/>
    <b v="1"/>
    <x v="0"/>
    <x v="1"/>
    <x v="2"/>
  </r>
  <r>
    <n v="1000000177"/>
    <x v="177"/>
    <s v="Joann Davies"/>
    <s v="['Trash Bags', 'Extension Cords', 'Beef']"/>
    <n v="1"/>
    <n v="31.59"/>
    <x v="2"/>
    <x v="3"/>
    <x v="3"/>
    <b v="0"/>
    <x v="6"/>
    <x v="0"/>
    <x v="0"/>
  </r>
  <r>
    <n v="1000000178"/>
    <x v="178"/>
    <s v="Lori Hill"/>
    <s v="['Onions']"/>
    <n v="8"/>
    <n v="75.06"/>
    <x v="3"/>
    <x v="3"/>
    <x v="1"/>
    <b v="0"/>
    <x v="1"/>
    <x v="0"/>
    <x v="2"/>
  </r>
  <r>
    <n v="1000000179"/>
    <x v="179"/>
    <s v="Trevor Jenkins"/>
    <s v="['Honey', 'Salmon', 'Diapers', 'Hair Gel']"/>
    <n v="5"/>
    <n v="45.77"/>
    <x v="3"/>
    <x v="1"/>
    <x v="3"/>
    <b v="1"/>
    <x v="5"/>
    <x v="1"/>
    <x v="1"/>
  </r>
  <r>
    <n v="1000000180"/>
    <x v="180"/>
    <s v="Jose Baker"/>
    <s v="['Canned Soup', 'Deodorant', 'Banana', 'Chips', 'Shampoo']"/>
    <n v="3"/>
    <n v="33.17"/>
    <x v="0"/>
    <x v="0"/>
    <x v="4"/>
    <b v="0"/>
    <x v="3"/>
    <x v="2"/>
    <x v="1"/>
  </r>
  <r>
    <n v="1000000181"/>
    <x v="181"/>
    <s v="Courtney Meyer"/>
    <s v="['BBQ Sauce', 'Garden Hose', 'Hair Gel']"/>
    <n v="10"/>
    <n v="12.81"/>
    <x v="3"/>
    <x v="3"/>
    <x v="5"/>
    <b v="1"/>
    <x v="2"/>
    <x v="0"/>
    <x v="1"/>
  </r>
  <r>
    <n v="1000000182"/>
    <x v="182"/>
    <s v="John Burton"/>
    <s v="['Vinegar', 'Soap']"/>
    <n v="2"/>
    <n v="74.81"/>
    <x v="2"/>
    <x v="5"/>
    <x v="4"/>
    <b v="1"/>
    <x v="2"/>
    <x v="1"/>
    <x v="2"/>
  </r>
  <r>
    <n v="1000000183"/>
    <x v="183"/>
    <s v="Janet Robinson"/>
    <s v="['Toothpaste', 'Jam', 'Tissues']"/>
    <n v="1"/>
    <n v="74.53"/>
    <x v="3"/>
    <x v="1"/>
    <x v="2"/>
    <b v="0"/>
    <x v="5"/>
    <x v="1"/>
    <x v="1"/>
  </r>
  <r>
    <n v="1000000184"/>
    <x v="184"/>
    <s v="Mitchell Jackson"/>
    <s v="['Mustard']"/>
    <n v="6"/>
    <n v="6.4"/>
    <x v="0"/>
    <x v="9"/>
    <x v="0"/>
    <b v="1"/>
    <x v="1"/>
    <x v="0"/>
    <x v="2"/>
  </r>
  <r>
    <n v="1000000185"/>
    <x v="185"/>
    <s v="Paula Gutierrez"/>
    <s v="['Ice Cream', 'Ice Cream', 'Laundry Detergent']"/>
    <n v="9"/>
    <n v="80.319999999999993"/>
    <x v="0"/>
    <x v="0"/>
    <x v="0"/>
    <b v="1"/>
    <x v="0"/>
    <x v="2"/>
    <x v="0"/>
  </r>
  <r>
    <n v="1000000186"/>
    <x v="186"/>
    <s v="Rebecca Rice"/>
    <s v="['Toothpaste', 'Paper Towels']"/>
    <n v="3"/>
    <n v="83.91"/>
    <x v="1"/>
    <x v="1"/>
    <x v="3"/>
    <b v="1"/>
    <x v="0"/>
    <x v="2"/>
    <x v="1"/>
  </r>
  <r>
    <n v="1000000187"/>
    <x v="187"/>
    <s v="Samantha Wallace"/>
    <s v="['Carrots', 'Air Freshener', 'Butter', 'Cleaning Spray']"/>
    <n v="5"/>
    <n v="58.92"/>
    <x v="0"/>
    <x v="8"/>
    <x v="4"/>
    <b v="0"/>
    <x v="3"/>
    <x v="1"/>
    <x v="0"/>
  </r>
  <r>
    <n v="1000000188"/>
    <x v="188"/>
    <s v="Luke Hall"/>
    <s v="['Bath Towels', 'Vinegar']"/>
    <n v="5"/>
    <n v="97.89"/>
    <x v="0"/>
    <x v="0"/>
    <x v="2"/>
    <b v="1"/>
    <x v="5"/>
    <x v="0"/>
    <x v="2"/>
  </r>
  <r>
    <n v="1000000189"/>
    <x v="189"/>
    <s v="Michael Gonzalez"/>
    <s v="['Dish Soap']"/>
    <n v="6"/>
    <n v="54.23"/>
    <x v="2"/>
    <x v="6"/>
    <x v="5"/>
    <b v="0"/>
    <x v="3"/>
    <x v="0"/>
    <x v="1"/>
  </r>
  <r>
    <n v="1000000190"/>
    <x v="190"/>
    <s v="Tyler Smith"/>
    <s v="['Shrimp', 'Chips']"/>
    <n v="5"/>
    <n v="5.78"/>
    <x v="0"/>
    <x v="3"/>
    <x v="1"/>
    <b v="0"/>
    <x v="4"/>
    <x v="3"/>
    <x v="1"/>
  </r>
  <r>
    <n v="1000000191"/>
    <x v="191"/>
    <s v="Terry Norman"/>
    <s v="['Paper Towels', 'Cleaning Rags']"/>
    <n v="9"/>
    <n v="62.26"/>
    <x v="3"/>
    <x v="1"/>
    <x v="1"/>
    <b v="1"/>
    <x v="3"/>
    <x v="1"/>
    <x v="0"/>
  </r>
  <r>
    <n v="1000000192"/>
    <x v="192"/>
    <s v="Cody Cobb"/>
    <s v="['Yogurt', 'Iron', 'Shaving Cream', 'Hand Sanitizer']"/>
    <n v="1"/>
    <n v="99.16"/>
    <x v="3"/>
    <x v="2"/>
    <x v="0"/>
    <b v="0"/>
    <x v="3"/>
    <x v="0"/>
    <x v="0"/>
  </r>
  <r>
    <n v="1000000193"/>
    <x v="193"/>
    <s v="Sierra Scott"/>
    <s v="['Chicken', 'Paper Towels', 'Cleaning Rags', 'Razors', 'Power Strips']"/>
    <n v="6"/>
    <n v="32.229999999999997"/>
    <x v="3"/>
    <x v="4"/>
    <x v="2"/>
    <b v="1"/>
    <x v="3"/>
    <x v="1"/>
    <x v="2"/>
  </r>
  <r>
    <n v="1000000194"/>
    <x v="194"/>
    <s v="Emily Underwood"/>
    <s v="['Air Freshener', 'Iron', 'Ice Cream', 'Ketchup']"/>
    <n v="10"/>
    <n v="39.68"/>
    <x v="1"/>
    <x v="2"/>
    <x v="3"/>
    <b v="0"/>
    <x v="6"/>
    <x v="0"/>
    <x v="0"/>
  </r>
  <r>
    <n v="1000000195"/>
    <x v="195"/>
    <s v="Arthur Myers"/>
    <s v="['Shampoo', 'Beef']"/>
    <n v="8"/>
    <n v="41.12"/>
    <x v="0"/>
    <x v="7"/>
    <x v="4"/>
    <b v="0"/>
    <x v="4"/>
    <x v="1"/>
    <x v="2"/>
  </r>
  <r>
    <n v="1000000196"/>
    <x v="196"/>
    <s v="Nicole Cantrell"/>
    <s v="['Paper Towels', 'Trash Cans', 'Dustpan', 'Syrup', 'Iron']"/>
    <n v="8"/>
    <n v="36.119999999999997"/>
    <x v="1"/>
    <x v="8"/>
    <x v="2"/>
    <b v="0"/>
    <x v="5"/>
    <x v="0"/>
    <x v="2"/>
  </r>
  <r>
    <n v="1000000197"/>
    <x v="197"/>
    <s v="John Martin"/>
    <s v="['Shrimp', 'Feminine Hygiene Products', 'Toilet Paper', 'Water']"/>
    <n v="10"/>
    <n v="84.07"/>
    <x v="1"/>
    <x v="7"/>
    <x v="3"/>
    <b v="0"/>
    <x v="0"/>
    <x v="2"/>
    <x v="0"/>
  </r>
  <r>
    <n v="1000000198"/>
    <x v="198"/>
    <s v="Jerry Williams"/>
    <s v="['Pasta', 'Shampoo']"/>
    <n v="4"/>
    <n v="39.56"/>
    <x v="3"/>
    <x v="3"/>
    <x v="4"/>
    <b v="1"/>
    <x v="3"/>
    <x v="0"/>
    <x v="0"/>
  </r>
  <r>
    <n v="1000000199"/>
    <x v="199"/>
    <s v="Jeffrey Brown"/>
    <s v="['Garden Hose', 'Cheese', 'Bath Towels']"/>
    <n v="3"/>
    <n v="77.39"/>
    <x v="1"/>
    <x v="7"/>
    <x v="3"/>
    <b v="1"/>
    <x v="2"/>
    <x v="0"/>
    <x v="1"/>
  </r>
  <r>
    <n v="1000000200"/>
    <x v="200"/>
    <s v="Andrea Snyder"/>
    <s v="['Honey', 'Yogurt', 'Potatoes', 'Apple', 'Onions']"/>
    <n v="5"/>
    <n v="83.36"/>
    <x v="3"/>
    <x v="4"/>
    <x v="2"/>
    <b v="1"/>
    <x v="1"/>
    <x v="1"/>
    <x v="1"/>
  </r>
  <r>
    <n v="1000000201"/>
    <x v="201"/>
    <s v="Nancy Jackson"/>
    <s v="['Shower Gel', 'Onions']"/>
    <n v="2"/>
    <n v="26.81"/>
    <x v="3"/>
    <x v="2"/>
    <x v="3"/>
    <b v="0"/>
    <x v="7"/>
    <x v="0"/>
    <x v="0"/>
  </r>
  <r>
    <n v="1000000202"/>
    <x v="202"/>
    <s v="Olivia Jimenez"/>
    <s v="['Peanut Butter', 'Diapers']"/>
    <n v="7"/>
    <n v="28.7"/>
    <x v="0"/>
    <x v="9"/>
    <x v="1"/>
    <b v="0"/>
    <x v="3"/>
    <x v="0"/>
    <x v="1"/>
  </r>
  <r>
    <n v="1000000203"/>
    <x v="203"/>
    <s v="Angel Garcia"/>
    <s v="['Cereal Bars', 'Tomatoes']"/>
    <n v="5"/>
    <n v="8.06"/>
    <x v="2"/>
    <x v="6"/>
    <x v="0"/>
    <b v="1"/>
    <x v="6"/>
    <x v="1"/>
    <x v="0"/>
  </r>
  <r>
    <n v="1000000204"/>
    <x v="204"/>
    <s v="Amy Rodriguez"/>
    <s v="['Sponges']"/>
    <n v="3"/>
    <n v="89.38"/>
    <x v="1"/>
    <x v="7"/>
    <x v="0"/>
    <b v="1"/>
    <x v="0"/>
    <x v="2"/>
    <x v="1"/>
  </r>
  <r>
    <n v="1000000205"/>
    <x v="205"/>
    <s v="Angela Clark"/>
    <s v="['Chips', 'Shampoo', 'Trash Bags', 'Soap', 'Dishware']"/>
    <n v="8"/>
    <n v="18.75"/>
    <x v="0"/>
    <x v="1"/>
    <x v="1"/>
    <b v="0"/>
    <x v="7"/>
    <x v="3"/>
    <x v="2"/>
  </r>
  <r>
    <n v="1000000206"/>
    <x v="206"/>
    <s v="Kelly Thompson"/>
    <s v="['Garden Hose']"/>
    <n v="6"/>
    <n v="9.02"/>
    <x v="0"/>
    <x v="1"/>
    <x v="0"/>
    <b v="1"/>
    <x v="0"/>
    <x v="0"/>
    <x v="2"/>
  </r>
  <r>
    <n v="1000000207"/>
    <x v="207"/>
    <s v="Ryan Melendez"/>
    <s v="['Spinach', 'Feminine Hygiene Products', 'Onions', 'BBQ Sauce']"/>
    <n v="9"/>
    <n v="17.34"/>
    <x v="0"/>
    <x v="3"/>
    <x v="4"/>
    <b v="0"/>
    <x v="0"/>
    <x v="1"/>
    <x v="1"/>
  </r>
  <r>
    <n v="1000000208"/>
    <x v="208"/>
    <s v="Kimberly Cisneros"/>
    <s v="['Paper Towels', 'Toothpaste']"/>
    <n v="10"/>
    <n v="8.2200000000000006"/>
    <x v="1"/>
    <x v="3"/>
    <x v="0"/>
    <b v="0"/>
    <x v="2"/>
    <x v="0"/>
    <x v="2"/>
  </r>
  <r>
    <n v="1000000209"/>
    <x v="209"/>
    <s v="Cole Smith"/>
    <s v="['Mustard', 'Chicken', 'Bread']"/>
    <n v="5"/>
    <n v="33.07"/>
    <x v="1"/>
    <x v="4"/>
    <x v="4"/>
    <b v="1"/>
    <x v="5"/>
    <x v="2"/>
    <x v="1"/>
  </r>
  <r>
    <n v="1000000210"/>
    <x v="210"/>
    <s v="Craig Smith"/>
    <s v="['Pasta', 'Carrots', 'Power Strips', 'Shrimp']"/>
    <n v="6"/>
    <n v="48.16"/>
    <x v="2"/>
    <x v="7"/>
    <x v="5"/>
    <b v="0"/>
    <x v="2"/>
    <x v="1"/>
    <x v="2"/>
  </r>
  <r>
    <n v="1000000211"/>
    <x v="211"/>
    <s v="Rodney Randolph"/>
    <s v="['Onions', 'Plant Fertilizer', 'Ice Cream', 'Tuna']"/>
    <n v="5"/>
    <n v="74.819999999999993"/>
    <x v="3"/>
    <x v="2"/>
    <x v="0"/>
    <b v="0"/>
    <x v="7"/>
    <x v="3"/>
    <x v="2"/>
  </r>
  <r>
    <n v="1000000212"/>
    <x v="212"/>
    <s v="Patrick Campbell"/>
    <s v="['Paper Towels', 'Rice', 'Mayonnaise', 'Pickles', 'Mayonnaise']"/>
    <n v="8"/>
    <n v="75.3"/>
    <x v="1"/>
    <x v="4"/>
    <x v="2"/>
    <b v="1"/>
    <x v="2"/>
    <x v="0"/>
    <x v="2"/>
  </r>
  <r>
    <n v="1000000213"/>
    <x v="213"/>
    <s v="Emily Whitehead"/>
    <s v="['Carrots', 'Orange', 'Paper Towels', 'Soap']"/>
    <n v="3"/>
    <n v="83.89"/>
    <x v="2"/>
    <x v="7"/>
    <x v="5"/>
    <b v="1"/>
    <x v="3"/>
    <x v="0"/>
    <x v="0"/>
  </r>
  <r>
    <n v="1000000214"/>
    <x v="214"/>
    <s v="Shawn Joyce"/>
    <s v="['Shaving Cream', 'Dustpan', 'Rice', 'Orange', 'Honey']"/>
    <n v="6"/>
    <n v="30.28"/>
    <x v="0"/>
    <x v="6"/>
    <x v="0"/>
    <b v="0"/>
    <x v="6"/>
    <x v="2"/>
    <x v="0"/>
  </r>
  <r>
    <n v="1000000215"/>
    <x v="215"/>
    <s v="Ashley White"/>
    <s v="['Coffee', 'Hair Gel', 'Vacuum Cleaner']"/>
    <n v="4"/>
    <n v="95.87"/>
    <x v="2"/>
    <x v="0"/>
    <x v="4"/>
    <b v="0"/>
    <x v="1"/>
    <x v="1"/>
    <x v="1"/>
  </r>
  <r>
    <n v="1000000216"/>
    <x v="216"/>
    <s v="Richard Harris"/>
    <s v="['Pancake Mix', 'Water', 'Air Freshener', 'Tea']"/>
    <n v="6"/>
    <n v="55.43"/>
    <x v="0"/>
    <x v="8"/>
    <x v="3"/>
    <b v="0"/>
    <x v="5"/>
    <x v="2"/>
    <x v="1"/>
  </r>
  <r>
    <n v="1000000217"/>
    <x v="217"/>
    <s v="Matthew Bowen"/>
    <s v="['Butter', 'Onions', 'Diapers']"/>
    <n v="7"/>
    <n v="21.95"/>
    <x v="1"/>
    <x v="4"/>
    <x v="2"/>
    <b v="1"/>
    <x v="7"/>
    <x v="0"/>
    <x v="2"/>
  </r>
  <r>
    <n v="1000000218"/>
    <x v="218"/>
    <s v="James Smith"/>
    <s v="['Milk', 'Insect Repellent', 'BBQ Sauce', 'BBQ Sauce', 'Hair Gel']"/>
    <n v="9"/>
    <n v="52.4"/>
    <x v="2"/>
    <x v="0"/>
    <x v="2"/>
    <b v="0"/>
    <x v="6"/>
    <x v="3"/>
    <x v="1"/>
  </r>
  <r>
    <n v="1000000219"/>
    <x v="219"/>
    <s v="Julia Baldwin"/>
    <s v="['Trash Bags', 'Cleaning Rags']"/>
    <n v="7"/>
    <n v="14.82"/>
    <x v="0"/>
    <x v="5"/>
    <x v="2"/>
    <b v="0"/>
    <x v="3"/>
    <x v="1"/>
    <x v="1"/>
  </r>
  <r>
    <n v="1000000220"/>
    <x v="220"/>
    <s v="Kathleen Cline"/>
    <s v="['Butter', 'Ketchup']"/>
    <n v="8"/>
    <n v="16.190000000000001"/>
    <x v="3"/>
    <x v="7"/>
    <x v="0"/>
    <b v="0"/>
    <x v="4"/>
    <x v="1"/>
    <x v="1"/>
  </r>
  <r>
    <n v="1000000221"/>
    <x v="221"/>
    <s v="Ashley Jones"/>
    <s v="['Ketchup']"/>
    <n v="1"/>
    <n v="24.33"/>
    <x v="2"/>
    <x v="2"/>
    <x v="2"/>
    <b v="1"/>
    <x v="1"/>
    <x v="2"/>
    <x v="0"/>
  </r>
  <r>
    <n v="1000000222"/>
    <x v="222"/>
    <s v="Matthew Hogan"/>
    <s v="['Baby Wipes']"/>
    <n v="4"/>
    <n v="55.11"/>
    <x v="1"/>
    <x v="1"/>
    <x v="1"/>
    <b v="1"/>
    <x v="3"/>
    <x v="3"/>
    <x v="2"/>
  </r>
  <r>
    <n v="1000000223"/>
    <x v="223"/>
    <s v="Kristin Hudson"/>
    <s v="['Toothpaste']"/>
    <n v="4"/>
    <n v="77.38"/>
    <x v="3"/>
    <x v="1"/>
    <x v="5"/>
    <b v="1"/>
    <x v="1"/>
    <x v="2"/>
    <x v="0"/>
  </r>
  <r>
    <n v="1000000224"/>
    <x v="224"/>
    <s v="Terri Dunn"/>
    <s v="['Banana', 'Feminine Hygiene Products']"/>
    <n v="2"/>
    <n v="34.799999999999997"/>
    <x v="2"/>
    <x v="9"/>
    <x v="4"/>
    <b v="1"/>
    <x v="0"/>
    <x v="3"/>
    <x v="2"/>
  </r>
  <r>
    <n v="1000000225"/>
    <x v="225"/>
    <s v="Jorge Keller"/>
    <s v="['Vacuum Cleaner', 'Ironing Board', 'Olive Oil', 'Tea', 'Shrimp']"/>
    <n v="7"/>
    <n v="72.489999999999995"/>
    <x v="2"/>
    <x v="1"/>
    <x v="5"/>
    <b v="0"/>
    <x v="6"/>
    <x v="3"/>
    <x v="1"/>
  </r>
  <r>
    <n v="1000000226"/>
    <x v="226"/>
    <s v="Leslie Bell"/>
    <s v="['Mayonnaise']"/>
    <n v="7"/>
    <n v="20.05"/>
    <x v="3"/>
    <x v="6"/>
    <x v="0"/>
    <b v="1"/>
    <x v="5"/>
    <x v="0"/>
    <x v="2"/>
  </r>
  <r>
    <n v="1000000227"/>
    <x v="227"/>
    <s v="Bradley Flynn"/>
    <s v="['Shaving Cream', 'Power Strips', 'Laundry Detergent', 'Orange', 'Hand Sanitizer']"/>
    <n v="2"/>
    <n v="11.27"/>
    <x v="1"/>
    <x v="1"/>
    <x v="2"/>
    <b v="1"/>
    <x v="6"/>
    <x v="0"/>
    <x v="1"/>
  </r>
  <r>
    <n v="1000000228"/>
    <x v="228"/>
    <s v="Morgan Phillips"/>
    <s v="['Rice', 'Ketchup']"/>
    <n v="9"/>
    <n v="37.450000000000003"/>
    <x v="1"/>
    <x v="9"/>
    <x v="5"/>
    <b v="0"/>
    <x v="0"/>
    <x v="0"/>
    <x v="2"/>
  </r>
  <r>
    <n v="1000000229"/>
    <x v="229"/>
    <s v="Victoria Duran"/>
    <s v="['Broom']"/>
    <n v="10"/>
    <n v="64.569999999999993"/>
    <x v="2"/>
    <x v="1"/>
    <x v="2"/>
    <b v="1"/>
    <x v="7"/>
    <x v="1"/>
    <x v="0"/>
  </r>
  <r>
    <n v="1000000230"/>
    <x v="230"/>
    <s v="Bruce Smith"/>
    <s v="['Onions', 'Salmon']"/>
    <n v="2"/>
    <n v="68.41"/>
    <x v="3"/>
    <x v="8"/>
    <x v="1"/>
    <b v="0"/>
    <x v="2"/>
    <x v="1"/>
    <x v="1"/>
  </r>
  <r>
    <n v="1000000231"/>
    <x v="231"/>
    <s v="Miss Jaime Roy MD"/>
    <s v="['Potatoes', 'Pancake Mix', 'Peanut Butter', 'Jam']"/>
    <n v="7"/>
    <n v="83.52"/>
    <x v="1"/>
    <x v="1"/>
    <x v="0"/>
    <b v="1"/>
    <x v="2"/>
    <x v="2"/>
    <x v="0"/>
  </r>
  <r>
    <n v="1000000232"/>
    <x v="232"/>
    <s v="Paul Kline"/>
    <s v="['Shower Gel', 'Peanut Butter', 'Baby Wipes', 'Hair Gel']"/>
    <n v="6"/>
    <n v="89.63"/>
    <x v="3"/>
    <x v="1"/>
    <x v="5"/>
    <b v="0"/>
    <x v="4"/>
    <x v="2"/>
    <x v="0"/>
  </r>
  <r>
    <n v="1000000233"/>
    <x v="233"/>
    <s v="Mary Ryan"/>
    <s v="['Laundry Detergent', 'Hand Sanitizer']"/>
    <n v="4"/>
    <n v="98.79"/>
    <x v="1"/>
    <x v="6"/>
    <x v="5"/>
    <b v="0"/>
    <x v="2"/>
    <x v="3"/>
    <x v="1"/>
  </r>
  <r>
    <n v="1000000234"/>
    <x v="234"/>
    <s v="Charles Parrish"/>
    <s v="['Light Bulbs', 'Plant Fertilizer', 'Bath Towels', 'Cleaning Rags']"/>
    <n v="6"/>
    <n v="96.7"/>
    <x v="2"/>
    <x v="2"/>
    <x v="5"/>
    <b v="1"/>
    <x v="2"/>
    <x v="3"/>
    <x v="0"/>
  </r>
  <r>
    <n v="1000000235"/>
    <x v="235"/>
    <s v="Victor Baker"/>
    <s v="['Soap', 'Banana', 'Tea', 'Feminine Hygiene Products', 'Mustard']"/>
    <n v="10"/>
    <n v="69.010000000000005"/>
    <x v="0"/>
    <x v="3"/>
    <x v="1"/>
    <b v="1"/>
    <x v="0"/>
    <x v="1"/>
    <x v="0"/>
  </r>
  <r>
    <n v="1000000236"/>
    <x v="236"/>
    <s v="Mary Graham"/>
    <s v="['Water', 'Toothbrush']"/>
    <n v="2"/>
    <n v="48.93"/>
    <x v="0"/>
    <x v="7"/>
    <x v="3"/>
    <b v="1"/>
    <x v="5"/>
    <x v="0"/>
    <x v="0"/>
  </r>
  <r>
    <n v="1000000237"/>
    <x v="237"/>
    <s v="Matthew Peterson"/>
    <s v="['Cleaning Spray', 'Eggs', 'Olive Oil', 'Baby Wipes', 'Shrimp']"/>
    <n v="4"/>
    <n v="30.54"/>
    <x v="0"/>
    <x v="6"/>
    <x v="4"/>
    <b v="1"/>
    <x v="6"/>
    <x v="0"/>
    <x v="2"/>
  </r>
  <r>
    <n v="1000000238"/>
    <x v="238"/>
    <s v="Leslie Walsh"/>
    <s v="['Deodorant', 'BBQ Sauce', 'Trash Cans']"/>
    <n v="5"/>
    <n v="96.3"/>
    <x v="1"/>
    <x v="7"/>
    <x v="4"/>
    <b v="0"/>
    <x v="6"/>
    <x v="2"/>
    <x v="0"/>
  </r>
  <r>
    <n v="1000000239"/>
    <x v="239"/>
    <s v="Gabriel Lucero"/>
    <s v="['Bread']"/>
    <n v="10"/>
    <n v="46.3"/>
    <x v="0"/>
    <x v="3"/>
    <x v="0"/>
    <b v="0"/>
    <x v="4"/>
    <x v="3"/>
    <x v="2"/>
  </r>
  <r>
    <n v="1000000240"/>
    <x v="240"/>
    <s v="Connor Moore"/>
    <s v="['Syrup', 'Tomatoes']"/>
    <n v="9"/>
    <n v="57.15"/>
    <x v="1"/>
    <x v="8"/>
    <x v="2"/>
    <b v="0"/>
    <x v="3"/>
    <x v="3"/>
    <x v="2"/>
  </r>
  <r>
    <n v="1000000241"/>
    <x v="241"/>
    <s v="Amy Campbell"/>
    <s v="['Shaving Cream', 'Laundry Detergent', 'BBQ Sauce', 'Air Freshener']"/>
    <n v="2"/>
    <n v="26.07"/>
    <x v="3"/>
    <x v="1"/>
    <x v="4"/>
    <b v="1"/>
    <x v="5"/>
    <x v="0"/>
    <x v="0"/>
  </r>
  <r>
    <n v="1000000242"/>
    <x v="242"/>
    <s v="Lee Ramirez"/>
    <s v="['Shrimp', 'Orange', 'Tomatoes', 'Soda', 'Deodorant']"/>
    <n v="2"/>
    <n v="63.6"/>
    <x v="0"/>
    <x v="3"/>
    <x v="0"/>
    <b v="1"/>
    <x v="7"/>
    <x v="0"/>
    <x v="0"/>
  </r>
  <r>
    <n v="1000000243"/>
    <x v="243"/>
    <s v="Jaime Parker"/>
    <s v="['Sponges', 'Chicken', 'Syrup', 'Cleaning Spray', 'Honey']"/>
    <n v="8"/>
    <n v="40.369999999999997"/>
    <x v="0"/>
    <x v="8"/>
    <x v="2"/>
    <b v="1"/>
    <x v="2"/>
    <x v="1"/>
    <x v="0"/>
  </r>
  <r>
    <n v="1000000244"/>
    <x v="244"/>
    <s v="James Bailey"/>
    <s v="['Tomatoes', 'Laundry Detergent']"/>
    <n v="3"/>
    <n v="73.400000000000006"/>
    <x v="3"/>
    <x v="0"/>
    <x v="4"/>
    <b v="1"/>
    <x v="1"/>
    <x v="0"/>
    <x v="1"/>
  </r>
  <r>
    <n v="1000000245"/>
    <x v="245"/>
    <s v="Sara Lee"/>
    <s v="['Shaving Cream', 'Mustard']"/>
    <n v="10"/>
    <n v="17.670000000000002"/>
    <x v="2"/>
    <x v="0"/>
    <x v="1"/>
    <b v="1"/>
    <x v="2"/>
    <x v="1"/>
    <x v="0"/>
  </r>
  <r>
    <n v="1000000246"/>
    <x v="246"/>
    <s v="Joanne Flores"/>
    <s v="['Insect Repellent', 'Shaving Cream', 'Shampoo', 'Sponges']"/>
    <n v="3"/>
    <n v="78.540000000000006"/>
    <x v="0"/>
    <x v="7"/>
    <x v="2"/>
    <b v="1"/>
    <x v="2"/>
    <x v="2"/>
    <x v="1"/>
  </r>
  <r>
    <n v="1000000247"/>
    <x v="247"/>
    <s v="Kevin Cruz"/>
    <s v="['Olive Oil', 'Dish Soap', 'Dish Soap']"/>
    <n v="6"/>
    <n v="51.17"/>
    <x v="3"/>
    <x v="2"/>
    <x v="1"/>
    <b v="1"/>
    <x v="3"/>
    <x v="2"/>
    <x v="2"/>
  </r>
  <r>
    <n v="1000000248"/>
    <x v="248"/>
    <s v="Dawn Benson"/>
    <s v="['Milk', 'Tuna', 'Honey', 'Shower Gel']"/>
    <n v="1"/>
    <n v="70.510000000000005"/>
    <x v="1"/>
    <x v="7"/>
    <x v="3"/>
    <b v="0"/>
    <x v="0"/>
    <x v="3"/>
    <x v="1"/>
  </r>
  <r>
    <n v="1000000249"/>
    <x v="249"/>
    <s v="Ronald Pacheco"/>
    <s v="['Extension Cords']"/>
    <n v="10"/>
    <n v="59.67"/>
    <x v="1"/>
    <x v="9"/>
    <x v="1"/>
    <b v="1"/>
    <x v="0"/>
    <x v="1"/>
    <x v="0"/>
  </r>
  <r>
    <n v="1000000250"/>
    <x v="250"/>
    <s v="Tracey Allen"/>
    <s v="['Bread', 'Deodorant', 'Banana']"/>
    <n v="8"/>
    <n v="37.950000000000003"/>
    <x v="2"/>
    <x v="6"/>
    <x v="4"/>
    <b v="0"/>
    <x v="6"/>
    <x v="0"/>
    <x v="0"/>
  </r>
  <r>
    <n v="1000000251"/>
    <x v="251"/>
    <s v="Tamara Burke"/>
    <s v="['Razors', 'Coffee', 'Vinegar', 'Chips', 'Chips']"/>
    <n v="3"/>
    <n v="32.369999999999997"/>
    <x v="0"/>
    <x v="0"/>
    <x v="3"/>
    <b v="0"/>
    <x v="4"/>
    <x v="0"/>
    <x v="1"/>
  </r>
  <r>
    <n v="1000000252"/>
    <x v="252"/>
    <s v="Cheryl Benson"/>
    <s v="['Cleaning Rags', 'Pickles', 'Shaving Cream', 'Mustard']"/>
    <n v="9"/>
    <n v="13.02"/>
    <x v="3"/>
    <x v="1"/>
    <x v="0"/>
    <b v="0"/>
    <x v="6"/>
    <x v="1"/>
    <x v="0"/>
  </r>
  <r>
    <n v="1000000253"/>
    <x v="253"/>
    <s v="Taylor Jimenez"/>
    <s v="['Cereal Bars']"/>
    <n v="7"/>
    <n v="7.48"/>
    <x v="0"/>
    <x v="6"/>
    <x v="1"/>
    <b v="0"/>
    <x v="1"/>
    <x v="2"/>
    <x v="0"/>
  </r>
  <r>
    <n v="1000000254"/>
    <x v="254"/>
    <s v="Brenda Greene"/>
    <s v="['Trash Bags', 'Trash Bags', 'Pickles']"/>
    <n v="5"/>
    <n v="52.41"/>
    <x v="1"/>
    <x v="0"/>
    <x v="2"/>
    <b v="1"/>
    <x v="7"/>
    <x v="0"/>
    <x v="0"/>
  </r>
  <r>
    <n v="1000000255"/>
    <x v="255"/>
    <s v="Mark Johnson"/>
    <s v="['Shrimp']"/>
    <n v="6"/>
    <n v="89.55"/>
    <x v="0"/>
    <x v="6"/>
    <x v="5"/>
    <b v="1"/>
    <x v="4"/>
    <x v="1"/>
    <x v="0"/>
  </r>
  <r>
    <n v="1000000256"/>
    <x v="256"/>
    <s v="Kenneth Williams"/>
    <s v="['Milk', 'Hair Gel']"/>
    <n v="3"/>
    <n v="31.45"/>
    <x v="3"/>
    <x v="4"/>
    <x v="5"/>
    <b v="1"/>
    <x v="3"/>
    <x v="1"/>
    <x v="1"/>
  </r>
  <r>
    <n v="1000000257"/>
    <x v="257"/>
    <s v="Nicholas Ellison"/>
    <s v="['Toothpaste', 'Soda', 'Toothbrush']"/>
    <n v="8"/>
    <n v="83.46"/>
    <x v="0"/>
    <x v="8"/>
    <x v="0"/>
    <b v="1"/>
    <x v="4"/>
    <x v="1"/>
    <x v="1"/>
  </r>
  <r>
    <n v="1000000258"/>
    <x v="258"/>
    <s v="Felicia Johnson"/>
    <s v="['Trash Cans', 'Razors']"/>
    <n v="5"/>
    <n v="78.95"/>
    <x v="2"/>
    <x v="9"/>
    <x v="2"/>
    <b v="1"/>
    <x v="5"/>
    <x v="1"/>
    <x v="2"/>
  </r>
  <r>
    <n v="1000000259"/>
    <x v="259"/>
    <s v="Kelly Adams"/>
    <s v="['Insect Repellent']"/>
    <n v="7"/>
    <n v="46.35"/>
    <x v="2"/>
    <x v="6"/>
    <x v="0"/>
    <b v="1"/>
    <x v="3"/>
    <x v="1"/>
    <x v="2"/>
  </r>
  <r>
    <n v="1000000260"/>
    <x v="260"/>
    <s v="Richard Hopkins"/>
    <s v="['Lawn Mower']"/>
    <n v="8"/>
    <n v="68.97"/>
    <x v="3"/>
    <x v="8"/>
    <x v="5"/>
    <b v="0"/>
    <x v="5"/>
    <x v="0"/>
    <x v="0"/>
  </r>
  <r>
    <n v="1000000261"/>
    <x v="261"/>
    <s v="Brenda Brown"/>
    <s v="['Spinach']"/>
    <n v="1"/>
    <n v="92.52"/>
    <x v="3"/>
    <x v="3"/>
    <x v="0"/>
    <b v="1"/>
    <x v="3"/>
    <x v="0"/>
    <x v="2"/>
  </r>
  <r>
    <n v="1000000262"/>
    <x v="262"/>
    <s v="David Henry"/>
    <s v="['Insect Repellent', 'Dishware', 'Apple']"/>
    <n v="7"/>
    <n v="12.66"/>
    <x v="2"/>
    <x v="0"/>
    <x v="4"/>
    <b v="1"/>
    <x v="7"/>
    <x v="3"/>
    <x v="0"/>
  </r>
  <r>
    <n v="1000000263"/>
    <x v="263"/>
    <s v="Catherine Rodriguez"/>
    <s v="['Soap', 'Dish Soap', 'Chips', 'Tea']"/>
    <n v="4"/>
    <n v="35.47"/>
    <x v="2"/>
    <x v="5"/>
    <x v="2"/>
    <b v="1"/>
    <x v="4"/>
    <x v="3"/>
    <x v="0"/>
  </r>
  <r>
    <n v="1000000264"/>
    <x v="264"/>
    <s v="Sean Obrien"/>
    <s v="['Garden Hose', 'Milk', 'Lawn Mower']"/>
    <n v="7"/>
    <n v="19.95"/>
    <x v="0"/>
    <x v="5"/>
    <x v="4"/>
    <b v="0"/>
    <x v="7"/>
    <x v="3"/>
    <x v="0"/>
  </r>
  <r>
    <n v="1000000265"/>
    <x v="265"/>
    <s v="Scott Byrd"/>
    <s v="['Light Bulbs', 'Honey', 'Bath Towels', 'Cereal Bars', 'Rice']"/>
    <n v="10"/>
    <n v="9.6199999999999992"/>
    <x v="2"/>
    <x v="6"/>
    <x v="2"/>
    <b v="0"/>
    <x v="0"/>
    <x v="2"/>
    <x v="0"/>
  </r>
  <r>
    <n v="1000000266"/>
    <x v="266"/>
    <s v="Sheila Carroll"/>
    <s v="['Plant Fertilizer', 'Vacuum Cleaner']"/>
    <n v="9"/>
    <n v="32.72"/>
    <x v="0"/>
    <x v="2"/>
    <x v="2"/>
    <b v="1"/>
    <x v="7"/>
    <x v="1"/>
    <x v="1"/>
  </r>
  <r>
    <n v="1000000267"/>
    <x v="267"/>
    <s v="Jason Rodriguez"/>
    <s v="['Insect Repellent', 'Hand Sanitizer', 'Honey', 'Dish Soap', 'Pickles']"/>
    <n v="8"/>
    <n v="15.37"/>
    <x v="3"/>
    <x v="5"/>
    <x v="2"/>
    <b v="1"/>
    <x v="1"/>
    <x v="1"/>
    <x v="0"/>
  </r>
  <r>
    <n v="1000000268"/>
    <x v="268"/>
    <s v="Edward Anderson"/>
    <s v="['Cleaning Spray', 'Cereal Bars']"/>
    <n v="3"/>
    <n v="32.89"/>
    <x v="0"/>
    <x v="9"/>
    <x v="4"/>
    <b v="0"/>
    <x v="4"/>
    <x v="2"/>
    <x v="2"/>
  </r>
  <r>
    <n v="1000000269"/>
    <x v="269"/>
    <s v="Benjamin Barber"/>
    <s v="['Mayonnaise', 'Tissues', 'Potatoes', 'Salmon']"/>
    <n v="10"/>
    <n v="41.46"/>
    <x v="3"/>
    <x v="8"/>
    <x v="3"/>
    <b v="0"/>
    <x v="3"/>
    <x v="1"/>
    <x v="2"/>
  </r>
  <r>
    <n v="1000000270"/>
    <x v="270"/>
    <s v="Lisa Evans"/>
    <s v="['Milk', 'Banana']"/>
    <n v="1"/>
    <n v="35.020000000000003"/>
    <x v="3"/>
    <x v="8"/>
    <x v="4"/>
    <b v="0"/>
    <x v="0"/>
    <x v="0"/>
    <x v="1"/>
  </r>
  <r>
    <n v="1000000271"/>
    <x v="271"/>
    <s v="Tracey Jackson"/>
    <s v="['Syrup', 'Spinach', 'Ironing Board']"/>
    <n v="7"/>
    <n v="49.32"/>
    <x v="2"/>
    <x v="0"/>
    <x v="5"/>
    <b v="1"/>
    <x v="6"/>
    <x v="3"/>
    <x v="1"/>
  </r>
  <r>
    <n v="1000000272"/>
    <x v="272"/>
    <s v="Taylor Daniels"/>
    <s v="['Sponges', 'Shrimp', 'Soda']"/>
    <n v="3"/>
    <n v="5.84"/>
    <x v="2"/>
    <x v="2"/>
    <x v="5"/>
    <b v="0"/>
    <x v="3"/>
    <x v="0"/>
    <x v="0"/>
  </r>
  <r>
    <n v="1000000273"/>
    <x v="273"/>
    <s v="Dwayne Herrera"/>
    <s v="['Eggs', 'Paper Towels']"/>
    <n v="6"/>
    <n v="35.119999999999997"/>
    <x v="0"/>
    <x v="0"/>
    <x v="2"/>
    <b v="1"/>
    <x v="7"/>
    <x v="2"/>
    <x v="2"/>
  </r>
  <r>
    <n v="1000000274"/>
    <x v="274"/>
    <s v="Stephanie Robinson"/>
    <s v="['Toothpaste', 'Bath Towels', 'Carrots']"/>
    <n v="8"/>
    <n v="49.02"/>
    <x v="2"/>
    <x v="6"/>
    <x v="4"/>
    <b v="0"/>
    <x v="4"/>
    <x v="3"/>
    <x v="2"/>
  </r>
  <r>
    <n v="1000000275"/>
    <x v="275"/>
    <s v="Caleb Bailey"/>
    <s v="['Insect Repellent', 'Power Strips', 'Toothbrush', 'Yogurt']"/>
    <n v="1"/>
    <n v="96.66"/>
    <x v="1"/>
    <x v="8"/>
    <x v="3"/>
    <b v="1"/>
    <x v="4"/>
    <x v="0"/>
    <x v="0"/>
  </r>
  <r>
    <n v="1000000276"/>
    <x v="276"/>
    <s v="Eric Moore DDS"/>
    <s v="['Pancake Mix', 'Mop']"/>
    <n v="2"/>
    <n v="63.83"/>
    <x v="1"/>
    <x v="3"/>
    <x v="5"/>
    <b v="1"/>
    <x v="2"/>
    <x v="2"/>
    <x v="1"/>
  </r>
  <r>
    <n v="1000000277"/>
    <x v="277"/>
    <s v="Barbara Griffin"/>
    <s v="['Hand Sanitizer', 'Mustard', 'Toilet Paper', 'Water']"/>
    <n v="10"/>
    <n v="51.19"/>
    <x v="3"/>
    <x v="7"/>
    <x v="4"/>
    <b v="0"/>
    <x v="1"/>
    <x v="1"/>
    <x v="2"/>
  </r>
  <r>
    <n v="1000000278"/>
    <x v="278"/>
    <s v="Jennifer Harrington DDS"/>
    <s v="['Syrup']"/>
    <n v="5"/>
    <n v="71.7"/>
    <x v="3"/>
    <x v="1"/>
    <x v="3"/>
    <b v="0"/>
    <x v="1"/>
    <x v="2"/>
    <x v="1"/>
  </r>
  <r>
    <n v="1000000279"/>
    <x v="279"/>
    <s v="Bryce Smith"/>
    <s v="['Shaving Cream', 'Jam']"/>
    <n v="9"/>
    <n v="9.39"/>
    <x v="2"/>
    <x v="0"/>
    <x v="5"/>
    <b v="1"/>
    <x v="0"/>
    <x v="1"/>
    <x v="0"/>
  </r>
  <r>
    <n v="1000000280"/>
    <x v="280"/>
    <s v="Suzanne Silva"/>
    <s v="['Ketchup', 'Hand Sanitizer', 'Orange', 'Vacuum Cleaner']"/>
    <n v="2"/>
    <n v="49.74"/>
    <x v="1"/>
    <x v="9"/>
    <x v="5"/>
    <b v="1"/>
    <x v="0"/>
    <x v="1"/>
    <x v="2"/>
  </r>
  <r>
    <n v="1000000281"/>
    <x v="281"/>
    <s v="David Prince"/>
    <s v="['Dishware', 'Soap']"/>
    <n v="10"/>
    <n v="74.53"/>
    <x v="0"/>
    <x v="8"/>
    <x v="2"/>
    <b v="0"/>
    <x v="4"/>
    <x v="3"/>
    <x v="0"/>
  </r>
  <r>
    <n v="1000000282"/>
    <x v="282"/>
    <s v="Dawn Alvarado"/>
    <s v="['Ice Cream', 'Cereal', 'Feminine Hygiene Products', 'Ice Cream', 'Coffee']"/>
    <n v="1"/>
    <n v="60.52"/>
    <x v="0"/>
    <x v="6"/>
    <x v="1"/>
    <b v="1"/>
    <x v="5"/>
    <x v="1"/>
    <x v="0"/>
  </r>
  <r>
    <n v="1000000283"/>
    <x v="283"/>
    <s v="Susan Lee"/>
    <s v="['Pasta', 'Toilet Paper', 'Chips', 'Light Bulbs', 'Toilet Paper']"/>
    <n v="4"/>
    <n v="42.33"/>
    <x v="2"/>
    <x v="6"/>
    <x v="3"/>
    <b v="0"/>
    <x v="7"/>
    <x v="0"/>
    <x v="1"/>
  </r>
  <r>
    <n v="1000000284"/>
    <x v="284"/>
    <s v="Pamela Adams"/>
    <s v="['Pancake Mix', 'Cereal']"/>
    <n v="9"/>
    <n v="88.86"/>
    <x v="0"/>
    <x v="0"/>
    <x v="3"/>
    <b v="0"/>
    <x v="6"/>
    <x v="0"/>
    <x v="0"/>
  </r>
  <r>
    <n v="1000000285"/>
    <x v="285"/>
    <s v="Jessica Shaffer"/>
    <s v="['Cereal Bars', 'Cleaning Rags', 'Chips', 'Hand Sanitizer', 'Deodorant']"/>
    <n v="9"/>
    <n v="51.18"/>
    <x v="3"/>
    <x v="7"/>
    <x v="4"/>
    <b v="1"/>
    <x v="1"/>
    <x v="1"/>
    <x v="2"/>
  </r>
  <r>
    <n v="1000000286"/>
    <x v="286"/>
    <s v="Mitchell Johnson"/>
    <s v="['Peanut Butter', 'Vacuum Cleaner', 'Milk']"/>
    <n v="2"/>
    <n v="38.71"/>
    <x v="0"/>
    <x v="5"/>
    <x v="1"/>
    <b v="1"/>
    <x v="4"/>
    <x v="0"/>
    <x v="1"/>
  </r>
  <r>
    <n v="1000000287"/>
    <x v="287"/>
    <s v="Robert Ibarra"/>
    <s v="['Shampoo', 'Tuna', 'Shaving Cream', 'Dustpan']"/>
    <n v="1"/>
    <n v="19.399999999999999"/>
    <x v="0"/>
    <x v="4"/>
    <x v="2"/>
    <b v="1"/>
    <x v="0"/>
    <x v="1"/>
    <x v="2"/>
  </r>
  <r>
    <n v="1000000288"/>
    <x v="288"/>
    <s v="Mr. Matthew Wang"/>
    <s v="['Trash Bags', 'Vinegar', 'Banana', 'Pickles', 'Ketchup']"/>
    <n v="6"/>
    <n v="10.92"/>
    <x v="2"/>
    <x v="5"/>
    <x v="5"/>
    <b v="0"/>
    <x v="1"/>
    <x v="2"/>
    <x v="1"/>
  </r>
  <r>
    <n v="1000000289"/>
    <x v="289"/>
    <s v="Michele Davis"/>
    <s v="['Mop', 'Soap']"/>
    <n v="4"/>
    <n v="79.33"/>
    <x v="3"/>
    <x v="7"/>
    <x v="1"/>
    <b v="0"/>
    <x v="0"/>
    <x v="1"/>
    <x v="0"/>
  </r>
  <r>
    <n v="1000000290"/>
    <x v="290"/>
    <s v="Karen Jones"/>
    <s v="['Hand Sanitizer']"/>
    <n v="1"/>
    <n v="62.37"/>
    <x v="0"/>
    <x v="9"/>
    <x v="3"/>
    <b v="0"/>
    <x v="7"/>
    <x v="2"/>
    <x v="0"/>
  </r>
  <r>
    <n v="1000000291"/>
    <x v="291"/>
    <s v="Kristi Sanchez"/>
    <s v="['Lawn Mower']"/>
    <n v="10"/>
    <n v="49.86"/>
    <x v="0"/>
    <x v="1"/>
    <x v="4"/>
    <b v="0"/>
    <x v="1"/>
    <x v="0"/>
    <x v="2"/>
  </r>
  <r>
    <n v="1000000292"/>
    <x v="292"/>
    <s v="James Aguilar"/>
    <s v="['Cereal', 'Honey', 'Carrots', 'Cheese', 'Broom']"/>
    <n v="5"/>
    <n v="74.16"/>
    <x v="1"/>
    <x v="2"/>
    <x v="1"/>
    <b v="1"/>
    <x v="3"/>
    <x v="0"/>
    <x v="1"/>
  </r>
  <r>
    <n v="1000000293"/>
    <x v="293"/>
    <s v="Lawrence Allison"/>
    <s v="['Chips', 'Cleaning Spray', 'Iron', 'Carrots', 'Shaving Cream']"/>
    <n v="4"/>
    <n v="20.89"/>
    <x v="2"/>
    <x v="3"/>
    <x v="2"/>
    <b v="0"/>
    <x v="6"/>
    <x v="1"/>
    <x v="0"/>
  </r>
  <r>
    <n v="1000000294"/>
    <x v="294"/>
    <s v="Benjamin Nguyen"/>
    <s v="['Iron', 'Butter', 'Shower Gel', 'Broom']"/>
    <n v="2"/>
    <n v="8.6999999999999993"/>
    <x v="0"/>
    <x v="7"/>
    <x v="5"/>
    <b v="1"/>
    <x v="3"/>
    <x v="0"/>
    <x v="0"/>
  </r>
  <r>
    <n v="1000000295"/>
    <x v="295"/>
    <s v="Gina Gomez"/>
    <s v="['Milk', 'Extension Cords', 'Mayonnaise', 'Hand Sanitizer']"/>
    <n v="4"/>
    <n v="85.09"/>
    <x v="2"/>
    <x v="8"/>
    <x v="3"/>
    <b v="0"/>
    <x v="2"/>
    <x v="1"/>
    <x v="1"/>
  </r>
  <r>
    <n v="1000000296"/>
    <x v="296"/>
    <s v="Gerald Massey"/>
    <s v="['Mop', 'Ketchup', 'Tomatoes', 'Spinach']"/>
    <n v="6"/>
    <n v="29.08"/>
    <x v="3"/>
    <x v="0"/>
    <x v="5"/>
    <b v="0"/>
    <x v="6"/>
    <x v="1"/>
    <x v="2"/>
  </r>
  <r>
    <n v="1000000297"/>
    <x v="297"/>
    <s v="William Willis"/>
    <s v="['Eggs']"/>
    <n v="9"/>
    <n v="32.57"/>
    <x v="0"/>
    <x v="1"/>
    <x v="1"/>
    <b v="0"/>
    <x v="7"/>
    <x v="0"/>
    <x v="1"/>
  </r>
  <r>
    <n v="1000000298"/>
    <x v="298"/>
    <s v="Tracy Wu"/>
    <s v="['Tea', 'Cereal', 'Honey', 'Cleaning Spray', 'Ketchup']"/>
    <n v="8"/>
    <n v="10.35"/>
    <x v="1"/>
    <x v="4"/>
    <x v="4"/>
    <b v="1"/>
    <x v="6"/>
    <x v="0"/>
    <x v="1"/>
  </r>
  <r>
    <n v="1000000299"/>
    <x v="299"/>
    <s v="Michael Wallace"/>
    <s v="['Bath Towels', 'Beef', 'Tomatoes']"/>
    <n v="7"/>
    <n v="38.49"/>
    <x v="2"/>
    <x v="9"/>
    <x v="3"/>
    <b v="0"/>
    <x v="6"/>
    <x v="2"/>
    <x v="1"/>
  </r>
  <r>
    <n v="1000000300"/>
    <x v="300"/>
    <s v="Carolyn Harris"/>
    <s v="['Shampoo', 'Tuna', 'Olive Oil', 'Peanut Butter', 'Carrots']"/>
    <n v="6"/>
    <n v="39.630000000000003"/>
    <x v="0"/>
    <x v="1"/>
    <x v="5"/>
    <b v="0"/>
    <x v="5"/>
    <x v="1"/>
    <x v="1"/>
  </r>
  <r>
    <n v="1000000301"/>
    <x v="301"/>
    <s v="Michele Davis"/>
    <s v="['BBQ Sauce', 'Power Strips']"/>
    <n v="10"/>
    <n v="23.55"/>
    <x v="2"/>
    <x v="3"/>
    <x v="2"/>
    <b v="1"/>
    <x v="6"/>
    <x v="2"/>
    <x v="1"/>
  </r>
  <r>
    <n v="1000000302"/>
    <x v="302"/>
    <s v="Molly Hernandez"/>
    <s v="['Paper Towels', 'Shrimp', 'Feminine Hygiene Products', 'Dishware']"/>
    <n v="8"/>
    <n v="32.72"/>
    <x v="1"/>
    <x v="3"/>
    <x v="3"/>
    <b v="0"/>
    <x v="4"/>
    <x v="3"/>
    <x v="1"/>
  </r>
  <r>
    <n v="1000000303"/>
    <x v="303"/>
    <s v="Ashley Knight"/>
    <s v="['Beef', 'Hand Sanitizer', 'Mayonnaise', 'Rice']"/>
    <n v="3"/>
    <n v="67.55"/>
    <x v="3"/>
    <x v="1"/>
    <x v="2"/>
    <b v="0"/>
    <x v="4"/>
    <x v="0"/>
    <x v="0"/>
  </r>
  <r>
    <n v="1000000304"/>
    <x v="304"/>
    <s v="Jessica Crawford"/>
    <s v="['Toothbrush', 'Hand Sanitizer']"/>
    <n v="6"/>
    <n v="64.239999999999995"/>
    <x v="0"/>
    <x v="6"/>
    <x v="4"/>
    <b v="0"/>
    <x v="4"/>
    <x v="0"/>
    <x v="2"/>
  </r>
  <r>
    <n v="1000000305"/>
    <x v="305"/>
    <s v="Yvette Bailey"/>
    <s v="['Coffee']"/>
    <n v="4"/>
    <n v="55.28"/>
    <x v="0"/>
    <x v="6"/>
    <x v="4"/>
    <b v="1"/>
    <x v="2"/>
    <x v="1"/>
    <x v="1"/>
  </r>
  <r>
    <n v="1000000306"/>
    <x v="306"/>
    <s v="Mary Miller"/>
    <s v="['Toothpaste']"/>
    <n v="9"/>
    <n v="79.37"/>
    <x v="3"/>
    <x v="0"/>
    <x v="3"/>
    <b v="1"/>
    <x v="7"/>
    <x v="3"/>
    <x v="1"/>
  </r>
  <r>
    <n v="1000000307"/>
    <x v="307"/>
    <s v="Ashley Turner"/>
    <s v="['Banana', 'Canned Soup']"/>
    <n v="1"/>
    <n v="87.95"/>
    <x v="3"/>
    <x v="7"/>
    <x v="3"/>
    <b v="1"/>
    <x v="5"/>
    <x v="2"/>
    <x v="2"/>
  </r>
  <r>
    <n v="1000000308"/>
    <x v="308"/>
    <s v="Dustin Walker"/>
    <s v="['Olive Oil', 'Diapers']"/>
    <n v="4"/>
    <n v="40.299999999999997"/>
    <x v="1"/>
    <x v="0"/>
    <x v="4"/>
    <b v="0"/>
    <x v="1"/>
    <x v="3"/>
    <x v="2"/>
  </r>
  <r>
    <n v="1000000309"/>
    <x v="309"/>
    <s v="Lynn Hopkins"/>
    <s v="['Shrimp', 'Pancake Mix']"/>
    <n v="1"/>
    <n v="30.56"/>
    <x v="0"/>
    <x v="3"/>
    <x v="0"/>
    <b v="1"/>
    <x v="1"/>
    <x v="3"/>
    <x v="1"/>
  </r>
  <r>
    <n v="1000000310"/>
    <x v="310"/>
    <s v="Taylor Cole"/>
    <s v="['Salmon', 'Plant Fertilizer', 'Cleaning Spray', 'Apple']"/>
    <n v="2"/>
    <n v="50.36"/>
    <x v="2"/>
    <x v="8"/>
    <x v="2"/>
    <b v="1"/>
    <x v="4"/>
    <x v="0"/>
    <x v="1"/>
  </r>
  <r>
    <n v="1000000311"/>
    <x v="311"/>
    <s v="Jeffrey Wilson"/>
    <s v="['Shaving Cream']"/>
    <n v="4"/>
    <n v="90.15"/>
    <x v="3"/>
    <x v="5"/>
    <x v="2"/>
    <b v="1"/>
    <x v="0"/>
    <x v="1"/>
    <x v="2"/>
  </r>
  <r>
    <n v="1000000312"/>
    <x v="312"/>
    <s v="Christopher Nichols"/>
    <s v="['Deodorant']"/>
    <n v="1"/>
    <n v="42.33"/>
    <x v="3"/>
    <x v="9"/>
    <x v="0"/>
    <b v="1"/>
    <x v="4"/>
    <x v="2"/>
    <x v="1"/>
  </r>
  <r>
    <n v="1000000313"/>
    <x v="313"/>
    <s v="Jacob Washington"/>
    <s v="['Laundry Detergent']"/>
    <n v="7"/>
    <n v="85.12"/>
    <x v="0"/>
    <x v="1"/>
    <x v="4"/>
    <b v="1"/>
    <x v="2"/>
    <x v="2"/>
    <x v="1"/>
  </r>
  <r>
    <n v="1000000314"/>
    <x v="314"/>
    <s v="Ann Gamble"/>
    <s v="['Tuna', 'Chips', 'Chicken', 'Potatoes', 'Dustpan']"/>
    <n v="7"/>
    <n v="72.38"/>
    <x v="3"/>
    <x v="4"/>
    <x v="3"/>
    <b v="0"/>
    <x v="1"/>
    <x v="2"/>
    <x v="0"/>
  </r>
  <r>
    <n v="1000000315"/>
    <x v="315"/>
    <s v="Michael Ray"/>
    <s v="['Soap']"/>
    <n v="4"/>
    <n v="57.72"/>
    <x v="2"/>
    <x v="7"/>
    <x v="3"/>
    <b v="1"/>
    <x v="7"/>
    <x v="2"/>
    <x v="1"/>
  </r>
  <r>
    <n v="1000000316"/>
    <x v="316"/>
    <s v="Karen Meyer"/>
    <s v="['Soap', 'Cheese', 'Eggs', 'Cleaning Spray', 'Ketchup']"/>
    <n v="8"/>
    <n v="13"/>
    <x v="2"/>
    <x v="6"/>
    <x v="4"/>
    <b v="0"/>
    <x v="5"/>
    <x v="1"/>
    <x v="2"/>
  </r>
  <r>
    <n v="1000000317"/>
    <x v="317"/>
    <s v="Candice Shelton"/>
    <s v="['Garden Hose']"/>
    <n v="5"/>
    <n v="10.01"/>
    <x v="2"/>
    <x v="3"/>
    <x v="1"/>
    <b v="0"/>
    <x v="0"/>
    <x v="1"/>
    <x v="0"/>
  </r>
  <r>
    <n v="1000000318"/>
    <x v="318"/>
    <s v="Cindy Russell"/>
    <s v="['Shampoo', 'Salmon', 'Soda']"/>
    <n v="1"/>
    <n v="31.74"/>
    <x v="0"/>
    <x v="2"/>
    <x v="4"/>
    <b v="0"/>
    <x v="1"/>
    <x v="2"/>
    <x v="1"/>
  </r>
  <r>
    <n v="1000000319"/>
    <x v="319"/>
    <s v="Taylor Brady"/>
    <s v="['Vacuum Cleaner', 'Garden Hose', 'Tea']"/>
    <n v="8"/>
    <n v="49.45"/>
    <x v="3"/>
    <x v="4"/>
    <x v="5"/>
    <b v="1"/>
    <x v="6"/>
    <x v="1"/>
    <x v="2"/>
  </r>
  <r>
    <n v="1000000320"/>
    <x v="320"/>
    <s v="Paula Turner"/>
    <s v="['Soap', 'Iron']"/>
    <n v="7"/>
    <n v="49.92"/>
    <x v="0"/>
    <x v="1"/>
    <x v="0"/>
    <b v="0"/>
    <x v="6"/>
    <x v="3"/>
    <x v="2"/>
  </r>
  <r>
    <n v="1000000321"/>
    <x v="321"/>
    <s v="Jasmine Vasquez"/>
    <s v="['Feminine Hygiene Products']"/>
    <n v="9"/>
    <n v="23.17"/>
    <x v="1"/>
    <x v="2"/>
    <x v="5"/>
    <b v="0"/>
    <x v="4"/>
    <x v="2"/>
    <x v="2"/>
  </r>
  <r>
    <n v="1000000322"/>
    <x v="322"/>
    <s v="Christopher Johnson"/>
    <s v="['Dish Soap', 'Lawn Mower']"/>
    <n v="7"/>
    <n v="57.85"/>
    <x v="2"/>
    <x v="1"/>
    <x v="3"/>
    <b v="1"/>
    <x v="2"/>
    <x v="0"/>
    <x v="0"/>
  </r>
  <r>
    <n v="1000000323"/>
    <x v="323"/>
    <s v="Christopher Chandler"/>
    <s v="['Bread', 'Mop', 'Ketchup', 'Chicken', 'Tuna']"/>
    <n v="7"/>
    <n v="47.75"/>
    <x v="3"/>
    <x v="6"/>
    <x v="5"/>
    <b v="0"/>
    <x v="3"/>
    <x v="0"/>
    <x v="2"/>
  </r>
  <r>
    <n v="1000000324"/>
    <x v="324"/>
    <s v="Susan Ball"/>
    <s v="['Ketchup', 'Garden Hose']"/>
    <n v="3"/>
    <n v="79.650000000000006"/>
    <x v="1"/>
    <x v="3"/>
    <x v="0"/>
    <b v="1"/>
    <x v="6"/>
    <x v="0"/>
    <x v="0"/>
  </r>
  <r>
    <n v="1000000325"/>
    <x v="325"/>
    <s v="Bobby Warner"/>
    <s v="['Light Bulbs']"/>
    <n v="3"/>
    <n v="61.53"/>
    <x v="3"/>
    <x v="7"/>
    <x v="0"/>
    <b v="1"/>
    <x v="7"/>
    <x v="0"/>
    <x v="1"/>
  </r>
  <r>
    <n v="1000000326"/>
    <x v="326"/>
    <s v="Victoria Jenkins"/>
    <s v="['Beef', 'Yogurt', 'Garden Hose']"/>
    <n v="10"/>
    <n v="97.35"/>
    <x v="0"/>
    <x v="3"/>
    <x v="3"/>
    <b v="0"/>
    <x v="5"/>
    <x v="1"/>
    <x v="1"/>
  </r>
  <r>
    <n v="1000000327"/>
    <x v="327"/>
    <s v="Tyler Lara"/>
    <s v="['Dustpan']"/>
    <n v="1"/>
    <n v="86.32"/>
    <x v="0"/>
    <x v="9"/>
    <x v="3"/>
    <b v="1"/>
    <x v="6"/>
    <x v="1"/>
    <x v="2"/>
  </r>
  <r>
    <n v="1000000328"/>
    <x v="328"/>
    <s v="Ronald Chandler"/>
    <s v="['Trash Cans', 'Shampoo', 'Diapers', 'Diapers']"/>
    <n v="5"/>
    <n v="64.680000000000007"/>
    <x v="3"/>
    <x v="3"/>
    <x v="2"/>
    <b v="1"/>
    <x v="0"/>
    <x v="0"/>
    <x v="0"/>
  </r>
  <r>
    <n v="1000000329"/>
    <x v="329"/>
    <s v="Xavier Palmer"/>
    <s v="['Onions', 'Vinegar', 'Cleaning Rags', 'Ketchup']"/>
    <n v="7"/>
    <n v="93.03"/>
    <x v="3"/>
    <x v="9"/>
    <x v="3"/>
    <b v="0"/>
    <x v="1"/>
    <x v="3"/>
    <x v="2"/>
  </r>
  <r>
    <n v="1000000330"/>
    <x v="330"/>
    <s v="Lance Sims"/>
    <s v="['Mustard', 'Shrimp', 'Shampoo', 'Feminine Hygiene Products']"/>
    <n v="4"/>
    <n v="64.91"/>
    <x v="1"/>
    <x v="5"/>
    <x v="5"/>
    <b v="0"/>
    <x v="5"/>
    <x v="1"/>
    <x v="2"/>
  </r>
  <r>
    <n v="1000000331"/>
    <x v="331"/>
    <s v="Richard Dean"/>
    <s v="['Deodorant', 'Paper Towels']"/>
    <n v="4"/>
    <n v="70.94"/>
    <x v="0"/>
    <x v="5"/>
    <x v="2"/>
    <b v="1"/>
    <x v="2"/>
    <x v="1"/>
    <x v="2"/>
  </r>
  <r>
    <n v="1000000332"/>
    <x v="332"/>
    <s v="Corey Scott"/>
    <s v="['Soap']"/>
    <n v="4"/>
    <n v="70.400000000000006"/>
    <x v="0"/>
    <x v="8"/>
    <x v="3"/>
    <b v="0"/>
    <x v="5"/>
    <x v="3"/>
    <x v="1"/>
  </r>
  <r>
    <n v="1000000333"/>
    <x v="333"/>
    <s v="Timothy Calderon"/>
    <s v="['Shower Gel', 'Pickles', 'Salmon', 'Extension Cords', 'Lawn Mower']"/>
    <n v="6"/>
    <n v="91.65"/>
    <x v="3"/>
    <x v="2"/>
    <x v="1"/>
    <b v="0"/>
    <x v="7"/>
    <x v="1"/>
    <x v="2"/>
  </r>
  <r>
    <n v="1000000334"/>
    <x v="334"/>
    <s v="Richard Clark"/>
    <s v="['Insect Repellent', 'Canned Soup', 'Ironing Board', 'Vinegar', 'Peanut Butter']"/>
    <n v="2"/>
    <n v="19.73"/>
    <x v="0"/>
    <x v="6"/>
    <x v="1"/>
    <b v="0"/>
    <x v="3"/>
    <x v="3"/>
    <x v="2"/>
  </r>
  <r>
    <n v="1000000335"/>
    <x v="335"/>
    <s v="Adrienne Long"/>
    <s v="['Canned Soup']"/>
    <n v="2"/>
    <n v="21.44"/>
    <x v="3"/>
    <x v="4"/>
    <x v="3"/>
    <b v="0"/>
    <x v="5"/>
    <x v="3"/>
    <x v="1"/>
  </r>
  <r>
    <n v="1000000336"/>
    <x v="336"/>
    <s v="Tanya Murphy"/>
    <s v="['Hand Sanitizer', 'Ice Cream', 'Tea']"/>
    <n v="7"/>
    <n v="50.77"/>
    <x v="0"/>
    <x v="6"/>
    <x v="4"/>
    <b v="0"/>
    <x v="4"/>
    <x v="0"/>
    <x v="1"/>
  </r>
  <r>
    <n v="1000000337"/>
    <x v="337"/>
    <s v="Traci Stevens"/>
    <s v="['Mop', 'Shrimp', 'Shrimp', 'Cleaning Rags']"/>
    <n v="4"/>
    <n v="42.82"/>
    <x v="3"/>
    <x v="2"/>
    <x v="4"/>
    <b v="1"/>
    <x v="3"/>
    <x v="0"/>
    <x v="1"/>
  </r>
  <r>
    <n v="1000000338"/>
    <x v="338"/>
    <s v="Melissa Freeman"/>
    <s v="['Olive Oil', 'Chips', 'Apple', 'Iron']"/>
    <n v="9"/>
    <n v="28.77"/>
    <x v="3"/>
    <x v="3"/>
    <x v="0"/>
    <b v="1"/>
    <x v="0"/>
    <x v="2"/>
    <x v="0"/>
  </r>
  <r>
    <n v="1000000339"/>
    <x v="339"/>
    <s v="Colleen Mata"/>
    <s v="['Bath Towels']"/>
    <n v="2"/>
    <n v="17.73"/>
    <x v="2"/>
    <x v="3"/>
    <x v="5"/>
    <b v="0"/>
    <x v="1"/>
    <x v="1"/>
    <x v="1"/>
  </r>
  <r>
    <n v="1000000340"/>
    <x v="340"/>
    <s v="Justin Rodriguez"/>
    <s v="['Ironing Board', 'Pasta']"/>
    <n v="1"/>
    <n v="28.8"/>
    <x v="0"/>
    <x v="8"/>
    <x v="4"/>
    <b v="1"/>
    <x v="4"/>
    <x v="0"/>
    <x v="0"/>
  </r>
  <r>
    <n v="1000000341"/>
    <x v="341"/>
    <s v="Daniel Thomas"/>
    <s v="['Tuna']"/>
    <n v="2"/>
    <n v="87.03"/>
    <x v="2"/>
    <x v="7"/>
    <x v="2"/>
    <b v="1"/>
    <x v="4"/>
    <x v="3"/>
    <x v="2"/>
  </r>
  <r>
    <n v="1000000342"/>
    <x v="342"/>
    <s v="Susan Martin"/>
    <s v="['Dish Soap']"/>
    <n v="7"/>
    <n v="70.540000000000006"/>
    <x v="0"/>
    <x v="2"/>
    <x v="5"/>
    <b v="0"/>
    <x v="7"/>
    <x v="2"/>
    <x v="0"/>
  </r>
  <r>
    <n v="1000000343"/>
    <x v="343"/>
    <s v="Monica Howard"/>
    <s v="['Salmon', 'Tea', 'Yogurt']"/>
    <n v="9"/>
    <n v="96.33"/>
    <x v="1"/>
    <x v="1"/>
    <x v="2"/>
    <b v="0"/>
    <x v="6"/>
    <x v="3"/>
    <x v="1"/>
  </r>
  <r>
    <n v="1000000344"/>
    <x v="344"/>
    <s v="Lauren Perry"/>
    <s v="['Mustard', 'Vinegar', 'Light Bulbs', 'Cleaning Spray']"/>
    <n v="2"/>
    <n v="44.84"/>
    <x v="2"/>
    <x v="1"/>
    <x v="3"/>
    <b v="1"/>
    <x v="6"/>
    <x v="1"/>
    <x v="0"/>
  </r>
  <r>
    <n v="1000000345"/>
    <x v="345"/>
    <s v="Cynthia Peters"/>
    <s v="['Bread', 'Syrup', 'Laundry Detergent']"/>
    <n v="6"/>
    <n v="64.31"/>
    <x v="0"/>
    <x v="2"/>
    <x v="2"/>
    <b v="0"/>
    <x v="0"/>
    <x v="0"/>
    <x v="0"/>
  </r>
  <r>
    <n v="1000000346"/>
    <x v="346"/>
    <s v="Andrew Shelton"/>
    <s v="['Mustard']"/>
    <n v="2"/>
    <n v="84.74"/>
    <x v="3"/>
    <x v="7"/>
    <x v="5"/>
    <b v="1"/>
    <x v="7"/>
    <x v="1"/>
    <x v="2"/>
  </r>
  <r>
    <n v="1000000347"/>
    <x v="347"/>
    <s v="Richard Page"/>
    <s v="['Apple']"/>
    <n v="3"/>
    <n v="49.65"/>
    <x v="0"/>
    <x v="9"/>
    <x v="2"/>
    <b v="0"/>
    <x v="4"/>
    <x v="0"/>
    <x v="1"/>
  </r>
  <r>
    <n v="1000000348"/>
    <x v="348"/>
    <s v="Gregory George"/>
    <s v="['Hand Sanitizer', 'Honey', 'Hair Gel', 'Feminine Hygiene Products', 'Honey']"/>
    <n v="5"/>
    <n v="77.91"/>
    <x v="3"/>
    <x v="7"/>
    <x v="2"/>
    <b v="0"/>
    <x v="1"/>
    <x v="2"/>
    <x v="2"/>
  </r>
  <r>
    <n v="1000000349"/>
    <x v="349"/>
    <s v="Joe Price"/>
    <s v="['Extension Cords', 'Milk', 'Razors', 'Lawn Mower', 'Milk']"/>
    <n v="5"/>
    <n v="43.82"/>
    <x v="1"/>
    <x v="4"/>
    <x v="1"/>
    <b v="1"/>
    <x v="0"/>
    <x v="3"/>
    <x v="1"/>
  </r>
  <r>
    <n v="1000000350"/>
    <x v="350"/>
    <s v="Marissa Cisneros"/>
    <s v="['Cereal Bars', 'Vacuum Cleaner', 'Coffee', 'Onions', 'Cleaning Spray']"/>
    <n v="7"/>
    <n v="85.19"/>
    <x v="2"/>
    <x v="7"/>
    <x v="2"/>
    <b v="1"/>
    <x v="4"/>
    <x v="3"/>
    <x v="0"/>
  </r>
  <r>
    <n v="1000000351"/>
    <x v="351"/>
    <s v="Debbie Burns"/>
    <s v="['Lawn Mower', 'Soda', 'Beef', 'Shampoo']"/>
    <n v="1"/>
    <n v="37.880000000000003"/>
    <x v="0"/>
    <x v="4"/>
    <x v="3"/>
    <b v="1"/>
    <x v="7"/>
    <x v="1"/>
    <x v="0"/>
  </r>
  <r>
    <n v="1000000352"/>
    <x v="352"/>
    <s v="William Cole"/>
    <s v="['Toothpaste', 'Air Freshener', 'Toothpaste']"/>
    <n v="5"/>
    <n v="92.53"/>
    <x v="3"/>
    <x v="7"/>
    <x v="5"/>
    <b v="1"/>
    <x v="2"/>
    <x v="0"/>
    <x v="0"/>
  </r>
  <r>
    <n v="1000000353"/>
    <x v="353"/>
    <s v="David Gallagher"/>
    <s v="['Plant Fertilizer', 'Hand Sanitizer', 'Potatoes', 'Shower Gel']"/>
    <n v="4"/>
    <n v="34.83"/>
    <x v="1"/>
    <x v="4"/>
    <x v="1"/>
    <b v="1"/>
    <x v="4"/>
    <x v="3"/>
    <x v="0"/>
  </r>
  <r>
    <n v="1000000354"/>
    <x v="354"/>
    <s v="Melissa Mullins"/>
    <s v="['Hand Sanitizer']"/>
    <n v="4"/>
    <n v="44.79"/>
    <x v="2"/>
    <x v="4"/>
    <x v="2"/>
    <b v="0"/>
    <x v="5"/>
    <x v="1"/>
    <x v="1"/>
  </r>
  <r>
    <n v="1000000355"/>
    <x v="355"/>
    <s v="James Smith"/>
    <s v="['Mop', 'Shower Gel', 'Cheese']"/>
    <n v="9"/>
    <n v="87.09"/>
    <x v="1"/>
    <x v="1"/>
    <x v="2"/>
    <b v="1"/>
    <x v="0"/>
    <x v="3"/>
    <x v="2"/>
  </r>
  <r>
    <n v="1000000356"/>
    <x v="356"/>
    <s v="James Harris"/>
    <s v="['Shampoo', 'Shampoo']"/>
    <n v="5"/>
    <n v="27.92"/>
    <x v="0"/>
    <x v="8"/>
    <x v="1"/>
    <b v="0"/>
    <x v="1"/>
    <x v="0"/>
    <x v="1"/>
  </r>
  <r>
    <n v="1000000357"/>
    <x v="357"/>
    <s v="Melinda Daniels"/>
    <s v="['Pancake Mix', 'Toilet Paper', 'Paper Towels']"/>
    <n v="3"/>
    <n v="23.43"/>
    <x v="2"/>
    <x v="3"/>
    <x v="1"/>
    <b v="1"/>
    <x v="7"/>
    <x v="2"/>
    <x v="0"/>
  </r>
  <r>
    <n v="1000000358"/>
    <x v="358"/>
    <s v="Barbara Shepard"/>
    <s v="['Olive Oil', 'Tea']"/>
    <n v="7"/>
    <n v="56.8"/>
    <x v="0"/>
    <x v="9"/>
    <x v="1"/>
    <b v="1"/>
    <x v="1"/>
    <x v="1"/>
    <x v="1"/>
  </r>
  <r>
    <n v="1000000359"/>
    <x v="359"/>
    <s v="Tyler Lambert"/>
    <s v="['Beef', 'Onions']"/>
    <n v="8"/>
    <n v="84.44"/>
    <x v="0"/>
    <x v="4"/>
    <x v="2"/>
    <b v="0"/>
    <x v="0"/>
    <x v="1"/>
    <x v="2"/>
  </r>
  <r>
    <n v="1000000360"/>
    <x v="360"/>
    <s v="Amanda Sanchez"/>
    <s v="['Beef', 'Olive Oil']"/>
    <n v="9"/>
    <n v="13.58"/>
    <x v="1"/>
    <x v="3"/>
    <x v="2"/>
    <b v="0"/>
    <x v="0"/>
    <x v="0"/>
    <x v="0"/>
  </r>
  <r>
    <n v="1000000361"/>
    <x v="361"/>
    <s v="Kelly Tucker"/>
    <s v="['Baby Wipes']"/>
    <n v="6"/>
    <n v="19.22"/>
    <x v="0"/>
    <x v="1"/>
    <x v="1"/>
    <b v="1"/>
    <x v="2"/>
    <x v="3"/>
    <x v="1"/>
  </r>
  <r>
    <n v="1000000362"/>
    <x v="362"/>
    <s v="Tiffany Wilson"/>
    <s v="['Toothpaste', 'Vacuum Cleaner', 'Mayonnaise', 'Ketchup']"/>
    <n v="7"/>
    <n v="85.72"/>
    <x v="1"/>
    <x v="3"/>
    <x v="1"/>
    <b v="0"/>
    <x v="7"/>
    <x v="3"/>
    <x v="2"/>
  </r>
  <r>
    <n v="1000000363"/>
    <x v="363"/>
    <s v="Seth Johnson"/>
    <s v="['Dustpan', 'Peanut Butter']"/>
    <n v="3"/>
    <n v="97.56"/>
    <x v="2"/>
    <x v="6"/>
    <x v="5"/>
    <b v="1"/>
    <x v="2"/>
    <x v="0"/>
    <x v="0"/>
  </r>
  <r>
    <n v="1000000364"/>
    <x v="364"/>
    <s v="Julie Perez"/>
    <s v="['Mop', 'Toothpaste']"/>
    <n v="9"/>
    <n v="47.37"/>
    <x v="3"/>
    <x v="6"/>
    <x v="4"/>
    <b v="1"/>
    <x v="6"/>
    <x v="2"/>
    <x v="2"/>
  </r>
  <r>
    <n v="1000000365"/>
    <x v="365"/>
    <s v="Dustin Taylor"/>
    <s v="['Honey', 'Chips', 'Pickles', 'Shampoo', 'Milk']"/>
    <n v="9"/>
    <n v="53.5"/>
    <x v="0"/>
    <x v="4"/>
    <x v="4"/>
    <b v="0"/>
    <x v="6"/>
    <x v="1"/>
    <x v="1"/>
  </r>
  <r>
    <n v="1000000366"/>
    <x v="366"/>
    <s v="Julia Ramirez"/>
    <s v="['Extension Cords']"/>
    <n v="3"/>
    <n v="57.72"/>
    <x v="0"/>
    <x v="2"/>
    <x v="3"/>
    <b v="0"/>
    <x v="3"/>
    <x v="3"/>
    <x v="1"/>
  </r>
  <r>
    <n v="1000000367"/>
    <x v="367"/>
    <s v="Richard Benjamin"/>
    <s v="['Honey', 'Mop', 'Spinach', 'Feminine Hygiene Products']"/>
    <n v="3"/>
    <n v="46.88"/>
    <x v="1"/>
    <x v="1"/>
    <x v="4"/>
    <b v="1"/>
    <x v="6"/>
    <x v="0"/>
    <x v="0"/>
  </r>
  <r>
    <n v="1000000368"/>
    <x v="368"/>
    <s v="Richard Hamilton"/>
    <s v="['Ironing Board', 'Toothbrush', 'Toothpaste']"/>
    <n v="4"/>
    <n v="97.58"/>
    <x v="2"/>
    <x v="5"/>
    <x v="2"/>
    <b v="1"/>
    <x v="2"/>
    <x v="1"/>
    <x v="0"/>
  </r>
  <r>
    <n v="1000000369"/>
    <x v="369"/>
    <s v="Deborah Reid"/>
    <s v="['Insect Repellent', 'Lawn Mower']"/>
    <n v="8"/>
    <n v="7.26"/>
    <x v="3"/>
    <x v="7"/>
    <x v="0"/>
    <b v="1"/>
    <x v="6"/>
    <x v="0"/>
    <x v="0"/>
  </r>
  <r>
    <n v="1000000370"/>
    <x v="370"/>
    <s v="Rachel Brown"/>
    <s v="['Apple']"/>
    <n v="2"/>
    <n v="8.4"/>
    <x v="1"/>
    <x v="3"/>
    <x v="5"/>
    <b v="0"/>
    <x v="7"/>
    <x v="3"/>
    <x v="0"/>
  </r>
  <r>
    <n v="1000000371"/>
    <x v="371"/>
    <s v="Brett Smith"/>
    <s v="['Toilet Paper']"/>
    <n v="7"/>
    <n v="62.14"/>
    <x v="3"/>
    <x v="3"/>
    <x v="2"/>
    <b v="1"/>
    <x v="0"/>
    <x v="0"/>
    <x v="2"/>
  </r>
  <r>
    <n v="1000000372"/>
    <x v="372"/>
    <s v="Austin Hughes"/>
    <s v="['Laundry Detergent']"/>
    <n v="9"/>
    <n v="68.55"/>
    <x v="1"/>
    <x v="4"/>
    <x v="3"/>
    <b v="0"/>
    <x v="7"/>
    <x v="2"/>
    <x v="0"/>
  </r>
  <r>
    <n v="1000000373"/>
    <x v="373"/>
    <s v="Mark Smith"/>
    <s v="['Paper Towels', 'Onions', 'Water']"/>
    <n v="3"/>
    <n v="70.09"/>
    <x v="3"/>
    <x v="2"/>
    <x v="5"/>
    <b v="0"/>
    <x v="1"/>
    <x v="0"/>
    <x v="1"/>
  </r>
  <r>
    <n v="1000000374"/>
    <x v="374"/>
    <s v="Diana Giles"/>
    <s v="['Potatoes', 'Yogurt', 'Toothpaste', 'Carrots']"/>
    <n v="8"/>
    <n v="23.85"/>
    <x v="2"/>
    <x v="7"/>
    <x v="3"/>
    <b v="0"/>
    <x v="7"/>
    <x v="3"/>
    <x v="1"/>
  </r>
  <r>
    <n v="1000000375"/>
    <x v="375"/>
    <s v="Cassandra Lloyd"/>
    <s v="['Cheese', 'Cleaning Spray', 'Insect Repellent', 'Beef']"/>
    <n v="8"/>
    <n v="52.07"/>
    <x v="1"/>
    <x v="1"/>
    <x v="2"/>
    <b v="0"/>
    <x v="4"/>
    <x v="3"/>
    <x v="2"/>
  </r>
  <r>
    <n v="1000000376"/>
    <x v="376"/>
    <s v="Laura Phillips"/>
    <s v="['Chicken', 'Toothpaste', 'Pickles', 'Laundry Detergent']"/>
    <n v="4"/>
    <n v="73.02"/>
    <x v="0"/>
    <x v="1"/>
    <x v="1"/>
    <b v="0"/>
    <x v="4"/>
    <x v="3"/>
    <x v="1"/>
  </r>
  <r>
    <n v="1000000377"/>
    <x v="377"/>
    <s v="Derrick Chen"/>
    <s v="['Apple', 'Dustpan', 'Plant Fertilizer', 'Trash Bags', 'Trash Cans']"/>
    <n v="10"/>
    <n v="75.92"/>
    <x v="2"/>
    <x v="0"/>
    <x v="0"/>
    <b v="1"/>
    <x v="4"/>
    <x v="3"/>
    <x v="1"/>
  </r>
  <r>
    <n v="1000000378"/>
    <x v="378"/>
    <s v="Patricia Bernard"/>
    <s v="['Tomatoes', 'Yogurt', 'Vinegar', 'Cheese']"/>
    <n v="3"/>
    <n v="39.81"/>
    <x v="2"/>
    <x v="9"/>
    <x v="5"/>
    <b v="0"/>
    <x v="2"/>
    <x v="1"/>
    <x v="0"/>
  </r>
  <r>
    <n v="1000000379"/>
    <x v="379"/>
    <s v="Rebecca Martinez"/>
    <s v="['Shrimp', 'Peanut Butter', 'Vinegar', 'Beef', 'Hand Sanitizer']"/>
    <n v="5"/>
    <n v="76.150000000000006"/>
    <x v="0"/>
    <x v="6"/>
    <x v="1"/>
    <b v="0"/>
    <x v="5"/>
    <x v="2"/>
    <x v="1"/>
  </r>
  <r>
    <n v="1000000380"/>
    <x v="380"/>
    <s v="Victor Stein"/>
    <s v="['Hair Gel', 'Dish Soap', 'Rice', 'Salmon']"/>
    <n v="10"/>
    <n v="64.22"/>
    <x v="0"/>
    <x v="0"/>
    <x v="1"/>
    <b v="0"/>
    <x v="6"/>
    <x v="1"/>
    <x v="0"/>
  </r>
  <r>
    <n v="1000000381"/>
    <x v="381"/>
    <s v="Thomas Mason"/>
    <s v="['Shaving Cream', 'Spinach', 'Deodorant']"/>
    <n v="2"/>
    <n v="45.26"/>
    <x v="2"/>
    <x v="4"/>
    <x v="4"/>
    <b v="1"/>
    <x v="4"/>
    <x v="3"/>
    <x v="1"/>
  </r>
  <r>
    <n v="1000000382"/>
    <x v="382"/>
    <s v="Carla Thomas"/>
    <s v="['Toothbrush', 'Plant Fertilizer']"/>
    <n v="7"/>
    <n v="33.01"/>
    <x v="3"/>
    <x v="4"/>
    <x v="4"/>
    <b v="0"/>
    <x v="0"/>
    <x v="1"/>
    <x v="1"/>
  </r>
  <r>
    <n v="1000000383"/>
    <x v="383"/>
    <s v="Bradley Smith"/>
    <s v="['Orange']"/>
    <n v="8"/>
    <n v="42.14"/>
    <x v="2"/>
    <x v="6"/>
    <x v="5"/>
    <b v="0"/>
    <x v="0"/>
    <x v="1"/>
    <x v="0"/>
  </r>
  <r>
    <n v="1000000384"/>
    <x v="384"/>
    <s v="Joshua Chase"/>
    <s v="['Sponges', 'Air Freshener', 'Banana', 'Feminine Hygiene Products', 'Shaving Cream']"/>
    <n v="5"/>
    <n v="50.18"/>
    <x v="2"/>
    <x v="2"/>
    <x v="5"/>
    <b v="1"/>
    <x v="2"/>
    <x v="0"/>
    <x v="1"/>
  </r>
  <r>
    <n v="1000000385"/>
    <x v="385"/>
    <s v="Cheryl Olsen"/>
    <s v="['Cleaning Rags', 'Jam', 'Cheese', 'Carrots']"/>
    <n v="3"/>
    <n v="64.83"/>
    <x v="1"/>
    <x v="4"/>
    <x v="0"/>
    <b v="0"/>
    <x v="6"/>
    <x v="1"/>
    <x v="2"/>
  </r>
  <r>
    <n v="1000000386"/>
    <x v="386"/>
    <s v="Benjamin Cabrera"/>
    <s v="['Tuna', 'Baby Wipes', 'Carrots']"/>
    <n v="3"/>
    <n v="26.2"/>
    <x v="3"/>
    <x v="8"/>
    <x v="5"/>
    <b v="0"/>
    <x v="0"/>
    <x v="1"/>
    <x v="0"/>
  </r>
  <r>
    <n v="1000000387"/>
    <x v="387"/>
    <s v="Joseph Nichols"/>
    <s v="['Plant Fertilizer', 'Pickles', 'Olive Oil', 'Pancake Mix', 'Deodorant']"/>
    <n v="7"/>
    <n v="65.94"/>
    <x v="3"/>
    <x v="3"/>
    <x v="3"/>
    <b v="1"/>
    <x v="4"/>
    <x v="3"/>
    <x v="1"/>
  </r>
  <r>
    <n v="1000000388"/>
    <x v="388"/>
    <s v="Meghan Johnson"/>
    <s v="['Razors', 'Extension Cords', 'Orange', 'Ice Cream', 'Pasta']"/>
    <n v="4"/>
    <n v="63.15"/>
    <x v="1"/>
    <x v="2"/>
    <x v="5"/>
    <b v="1"/>
    <x v="6"/>
    <x v="0"/>
    <x v="2"/>
  </r>
  <r>
    <n v="1000000389"/>
    <x v="389"/>
    <s v="Holly Mora"/>
    <s v="['Bath Towels', 'Rice', 'Cleaning Rags']"/>
    <n v="5"/>
    <n v="87.35"/>
    <x v="3"/>
    <x v="7"/>
    <x v="1"/>
    <b v="0"/>
    <x v="0"/>
    <x v="2"/>
    <x v="1"/>
  </r>
  <r>
    <n v="1000000390"/>
    <x v="390"/>
    <s v="Michael Smith"/>
    <s v="['Salmon']"/>
    <n v="8"/>
    <n v="65.900000000000006"/>
    <x v="3"/>
    <x v="5"/>
    <x v="5"/>
    <b v="0"/>
    <x v="1"/>
    <x v="2"/>
    <x v="0"/>
  </r>
  <r>
    <n v="1000000391"/>
    <x v="391"/>
    <s v="Paul York"/>
    <s v="['Canned Soup', 'Cheese', 'Beef']"/>
    <n v="6"/>
    <n v="93.82"/>
    <x v="3"/>
    <x v="1"/>
    <x v="2"/>
    <b v="0"/>
    <x v="7"/>
    <x v="0"/>
    <x v="2"/>
  </r>
  <r>
    <n v="1000000392"/>
    <x v="392"/>
    <s v="Justin Garza"/>
    <s v="['Toothpaste']"/>
    <n v="1"/>
    <n v="80.959999999999994"/>
    <x v="0"/>
    <x v="1"/>
    <x v="2"/>
    <b v="1"/>
    <x v="2"/>
    <x v="2"/>
    <x v="0"/>
  </r>
  <r>
    <n v="1000000393"/>
    <x v="393"/>
    <s v="James Jones"/>
    <s v="['Potatoes', 'Toothbrush']"/>
    <n v="2"/>
    <n v="67.959999999999994"/>
    <x v="0"/>
    <x v="3"/>
    <x v="2"/>
    <b v="1"/>
    <x v="6"/>
    <x v="0"/>
    <x v="2"/>
  </r>
  <r>
    <n v="1000000394"/>
    <x v="394"/>
    <s v="Randall Davis"/>
    <s v="['Shower Gel', 'Shampoo', 'Dishware']"/>
    <n v="8"/>
    <n v="37.94"/>
    <x v="1"/>
    <x v="4"/>
    <x v="4"/>
    <b v="0"/>
    <x v="7"/>
    <x v="2"/>
    <x v="2"/>
  </r>
  <r>
    <n v="1000000395"/>
    <x v="395"/>
    <s v="Julie Hopkins"/>
    <s v="['Tea', 'Beef', 'Coffee']"/>
    <n v="9"/>
    <n v="83.46"/>
    <x v="0"/>
    <x v="1"/>
    <x v="3"/>
    <b v="0"/>
    <x v="1"/>
    <x v="2"/>
    <x v="1"/>
  </r>
  <r>
    <n v="1000000396"/>
    <x v="396"/>
    <s v="Zachary Compton"/>
    <s v="['Olive Oil', 'Banana', 'Orange', 'Coffee']"/>
    <n v="6"/>
    <n v="70.61"/>
    <x v="3"/>
    <x v="6"/>
    <x v="4"/>
    <b v="0"/>
    <x v="4"/>
    <x v="2"/>
    <x v="2"/>
  </r>
  <r>
    <n v="1000000397"/>
    <x v="397"/>
    <s v="Michelle White"/>
    <s v="['Bread', 'Bread', 'Trash Cans', 'Beef']"/>
    <n v="9"/>
    <n v="42.74"/>
    <x v="0"/>
    <x v="9"/>
    <x v="3"/>
    <b v="1"/>
    <x v="5"/>
    <x v="1"/>
    <x v="1"/>
  </r>
  <r>
    <n v="1000000398"/>
    <x v="398"/>
    <s v="Jennifer Owens"/>
    <s v="['Eggs']"/>
    <n v="7"/>
    <n v="93.47"/>
    <x v="3"/>
    <x v="8"/>
    <x v="2"/>
    <b v="1"/>
    <x v="1"/>
    <x v="3"/>
    <x v="1"/>
  </r>
  <r>
    <n v="1000000399"/>
    <x v="399"/>
    <s v="James Howe MD"/>
    <s v="['Rice']"/>
    <n v="2"/>
    <n v="12.11"/>
    <x v="1"/>
    <x v="8"/>
    <x v="3"/>
    <b v="0"/>
    <x v="0"/>
    <x v="1"/>
    <x v="1"/>
  </r>
  <r>
    <n v="1000000400"/>
    <x v="400"/>
    <s v="Kimberly Gomez"/>
    <s v="['Toothpaste', 'Extension Cords', 'Lawn Mower', 'Yogurt']"/>
    <n v="10"/>
    <n v="96.09"/>
    <x v="2"/>
    <x v="2"/>
    <x v="4"/>
    <b v="1"/>
    <x v="6"/>
    <x v="2"/>
    <x v="0"/>
  </r>
  <r>
    <n v="1000000401"/>
    <x v="401"/>
    <s v="Kathy Ross"/>
    <s v="['Trash Bags']"/>
    <n v="9"/>
    <n v="27.43"/>
    <x v="2"/>
    <x v="1"/>
    <x v="4"/>
    <b v="0"/>
    <x v="7"/>
    <x v="0"/>
    <x v="1"/>
  </r>
  <r>
    <n v="1000000402"/>
    <x v="402"/>
    <s v="Ariel Howell"/>
    <s v="['Broom']"/>
    <n v="3"/>
    <n v="48.89"/>
    <x v="2"/>
    <x v="3"/>
    <x v="2"/>
    <b v="0"/>
    <x v="5"/>
    <x v="2"/>
    <x v="0"/>
  </r>
  <r>
    <n v="1000000403"/>
    <x v="403"/>
    <s v="Lisa Smith"/>
    <s v="['Tea', 'Garden Hose', 'Lawn Mower', 'Butter', 'Broom']"/>
    <n v="3"/>
    <n v="58.34"/>
    <x v="2"/>
    <x v="2"/>
    <x v="0"/>
    <b v="1"/>
    <x v="2"/>
    <x v="2"/>
    <x v="1"/>
  </r>
  <r>
    <n v="1000000404"/>
    <x v="404"/>
    <s v="Randy Nelson"/>
    <s v="['Orange']"/>
    <n v="2"/>
    <n v="13.42"/>
    <x v="0"/>
    <x v="0"/>
    <x v="4"/>
    <b v="1"/>
    <x v="3"/>
    <x v="1"/>
    <x v="0"/>
  </r>
  <r>
    <n v="1000000405"/>
    <x v="405"/>
    <s v="Joseph Miller"/>
    <s v="['Canned Soup']"/>
    <n v="7"/>
    <n v="10.64"/>
    <x v="1"/>
    <x v="2"/>
    <x v="1"/>
    <b v="1"/>
    <x v="5"/>
    <x v="3"/>
    <x v="2"/>
  </r>
  <r>
    <n v="1000000406"/>
    <x v="406"/>
    <s v="Paul Hart"/>
    <s v="['Pasta', 'Tissues', 'Canned Soup', 'Ice Cream']"/>
    <n v="9"/>
    <n v="84.6"/>
    <x v="3"/>
    <x v="7"/>
    <x v="5"/>
    <b v="0"/>
    <x v="7"/>
    <x v="0"/>
    <x v="2"/>
  </r>
  <r>
    <n v="1000000407"/>
    <x v="407"/>
    <s v="Megan Hardin"/>
    <s v="['Ice Cream', 'Shower Gel', 'Toothpaste', 'Laundry Detergent', 'Vacuum Cleaner']"/>
    <n v="7"/>
    <n v="30.16"/>
    <x v="3"/>
    <x v="2"/>
    <x v="0"/>
    <b v="0"/>
    <x v="2"/>
    <x v="2"/>
    <x v="1"/>
  </r>
  <r>
    <n v="1000000408"/>
    <x v="408"/>
    <s v="Jennifer Lee"/>
    <s v="['Shaving Cream', 'Mustard', 'Peanut Butter', 'Toothpaste', 'Toothbrush']"/>
    <n v="1"/>
    <n v="92.09"/>
    <x v="3"/>
    <x v="3"/>
    <x v="0"/>
    <b v="1"/>
    <x v="7"/>
    <x v="2"/>
    <x v="2"/>
  </r>
  <r>
    <n v="1000000409"/>
    <x v="409"/>
    <s v="Matthew Hall"/>
    <s v="['BBQ Sauce']"/>
    <n v="7"/>
    <n v="83.24"/>
    <x v="3"/>
    <x v="8"/>
    <x v="5"/>
    <b v="1"/>
    <x v="6"/>
    <x v="1"/>
    <x v="2"/>
  </r>
  <r>
    <n v="1000000410"/>
    <x v="410"/>
    <s v="Thomas Green"/>
    <s v="['Mustard', 'Bread', 'Chicken', 'Pickles', 'Bread']"/>
    <n v="9"/>
    <n v="24.26"/>
    <x v="3"/>
    <x v="5"/>
    <x v="5"/>
    <b v="1"/>
    <x v="0"/>
    <x v="1"/>
    <x v="0"/>
  </r>
  <r>
    <n v="1000000411"/>
    <x v="411"/>
    <s v="George Ruiz"/>
    <s v="['BBQ Sauce', 'Syrup']"/>
    <n v="2"/>
    <n v="52.49"/>
    <x v="0"/>
    <x v="5"/>
    <x v="1"/>
    <b v="1"/>
    <x v="4"/>
    <x v="3"/>
    <x v="0"/>
  </r>
  <r>
    <n v="1000000412"/>
    <x v="412"/>
    <s v="Cameron Garner"/>
    <s v="['Power Strips', 'Plant Fertilizer']"/>
    <n v="7"/>
    <n v="9.6"/>
    <x v="2"/>
    <x v="0"/>
    <x v="1"/>
    <b v="1"/>
    <x v="3"/>
    <x v="1"/>
    <x v="2"/>
  </r>
  <r>
    <n v="1000000413"/>
    <x v="413"/>
    <s v="Paul Clarke"/>
    <s v="['Mustard', 'Bath Towels']"/>
    <n v="3"/>
    <n v="86.06"/>
    <x v="3"/>
    <x v="4"/>
    <x v="0"/>
    <b v="0"/>
    <x v="1"/>
    <x v="2"/>
    <x v="1"/>
  </r>
  <r>
    <n v="1000000414"/>
    <x v="414"/>
    <s v="William Randolph"/>
    <s v="['Ironing Board']"/>
    <n v="3"/>
    <n v="19.45"/>
    <x v="2"/>
    <x v="6"/>
    <x v="2"/>
    <b v="0"/>
    <x v="7"/>
    <x v="0"/>
    <x v="2"/>
  </r>
  <r>
    <n v="1000000415"/>
    <x v="415"/>
    <s v="Kevin Morris"/>
    <s v="['Dustpan', 'Soap', 'Banana', 'Shower Gel']"/>
    <n v="7"/>
    <n v="50.27"/>
    <x v="3"/>
    <x v="3"/>
    <x v="4"/>
    <b v="1"/>
    <x v="0"/>
    <x v="3"/>
    <x v="1"/>
  </r>
  <r>
    <n v="1000000416"/>
    <x v="416"/>
    <s v="Andrew Smith"/>
    <s v="['Soda', 'Carrots', 'Water', 'Razors', 'Cleaning Rags']"/>
    <n v="5"/>
    <n v="86.89"/>
    <x v="1"/>
    <x v="2"/>
    <x v="2"/>
    <b v="0"/>
    <x v="5"/>
    <x v="1"/>
    <x v="0"/>
  </r>
  <r>
    <n v="1000000417"/>
    <x v="417"/>
    <s v="Whitney Mercado"/>
    <s v="['Onions', 'Dishware', 'Hair Gel']"/>
    <n v="9"/>
    <n v="90.44"/>
    <x v="2"/>
    <x v="1"/>
    <x v="4"/>
    <b v="0"/>
    <x v="5"/>
    <x v="2"/>
    <x v="2"/>
  </r>
  <r>
    <n v="1000000418"/>
    <x v="418"/>
    <s v="Dennis Cruz"/>
    <s v="['Hand Sanitizer', 'Razors']"/>
    <n v="5"/>
    <n v="50.88"/>
    <x v="1"/>
    <x v="6"/>
    <x v="2"/>
    <b v="0"/>
    <x v="5"/>
    <x v="1"/>
    <x v="0"/>
  </r>
  <r>
    <n v="1000000419"/>
    <x v="419"/>
    <s v="Kristina Mcguire"/>
    <s v="['Apple', 'Water']"/>
    <n v="2"/>
    <n v="82.17"/>
    <x v="2"/>
    <x v="2"/>
    <x v="1"/>
    <b v="0"/>
    <x v="5"/>
    <x v="3"/>
    <x v="0"/>
  </r>
  <r>
    <n v="1000000420"/>
    <x v="420"/>
    <s v="Maria Ochoa"/>
    <s v="['Baby Wipes']"/>
    <n v="3"/>
    <n v="70.209999999999994"/>
    <x v="0"/>
    <x v="2"/>
    <x v="5"/>
    <b v="0"/>
    <x v="6"/>
    <x v="2"/>
    <x v="1"/>
  </r>
  <r>
    <n v="1000000421"/>
    <x v="421"/>
    <s v="Jeffrey Thomas"/>
    <s v="['Baby Wipes', 'Razors', 'Feminine Hygiene Products']"/>
    <n v="4"/>
    <n v="88.19"/>
    <x v="3"/>
    <x v="4"/>
    <x v="1"/>
    <b v="1"/>
    <x v="6"/>
    <x v="3"/>
    <x v="1"/>
  </r>
  <r>
    <n v="1000000422"/>
    <x v="422"/>
    <s v="Melissa Wallace"/>
    <s v="['Hand Sanitizer', 'Onions', 'Tissues', 'Yogurt']"/>
    <n v="3"/>
    <n v="13.44"/>
    <x v="1"/>
    <x v="8"/>
    <x v="2"/>
    <b v="1"/>
    <x v="2"/>
    <x v="1"/>
    <x v="0"/>
  </r>
  <r>
    <n v="1000000423"/>
    <x v="423"/>
    <s v="Dawn Barnes"/>
    <s v="['Feminine Hygiene Products', 'Olive Oil']"/>
    <n v="5"/>
    <n v="68.37"/>
    <x v="3"/>
    <x v="8"/>
    <x v="5"/>
    <b v="0"/>
    <x v="1"/>
    <x v="2"/>
    <x v="0"/>
  </r>
  <r>
    <n v="1000000424"/>
    <x v="424"/>
    <s v="Mr. Jimmy Martin MD"/>
    <s v="['Vacuum Cleaner', 'Trash Bags', 'Sponges']"/>
    <n v="8"/>
    <n v="24.17"/>
    <x v="0"/>
    <x v="8"/>
    <x v="0"/>
    <b v="1"/>
    <x v="6"/>
    <x v="0"/>
    <x v="2"/>
  </r>
  <r>
    <n v="1000000425"/>
    <x v="425"/>
    <s v="Brian Turner"/>
    <s v="['Banana', 'Air Freshener']"/>
    <n v="3"/>
    <n v="19.690000000000001"/>
    <x v="0"/>
    <x v="8"/>
    <x v="3"/>
    <b v="0"/>
    <x v="4"/>
    <x v="0"/>
    <x v="0"/>
  </r>
  <r>
    <n v="1000000426"/>
    <x v="426"/>
    <s v="Hannah Moss"/>
    <s v="['Soap', 'Shampoo', 'Pancake Mix']"/>
    <n v="9"/>
    <n v="27.71"/>
    <x v="3"/>
    <x v="9"/>
    <x v="1"/>
    <b v="1"/>
    <x v="4"/>
    <x v="1"/>
    <x v="0"/>
  </r>
  <r>
    <n v="1000000427"/>
    <x v="427"/>
    <s v="Jessica Crawford"/>
    <s v="['Canned Soup', 'Chips', 'Dishware', 'Air Freshener']"/>
    <n v="7"/>
    <n v="39.32"/>
    <x v="3"/>
    <x v="4"/>
    <x v="1"/>
    <b v="1"/>
    <x v="3"/>
    <x v="2"/>
    <x v="1"/>
  </r>
  <r>
    <n v="1000000428"/>
    <x v="428"/>
    <s v="Joseph Barrett"/>
    <s v="['Broom']"/>
    <n v="8"/>
    <n v="90.66"/>
    <x v="1"/>
    <x v="0"/>
    <x v="1"/>
    <b v="1"/>
    <x v="4"/>
    <x v="1"/>
    <x v="0"/>
  </r>
  <r>
    <n v="1000000429"/>
    <x v="429"/>
    <s v="Robert Williams"/>
    <s v="['Bread', 'Mayonnaise']"/>
    <n v="4"/>
    <n v="58.1"/>
    <x v="3"/>
    <x v="4"/>
    <x v="0"/>
    <b v="0"/>
    <x v="2"/>
    <x v="0"/>
    <x v="2"/>
  </r>
  <r>
    <n v="1000000430"/>
    <x v="430"/>
    <s v="Robin King"/>
    <s v="['Eggs', 'Cheese']"/>
    <n v="8"/>
    <n v="10.01"/>
    <x v="3"/>
    <x v="3"/>
    <x v="2"/>
    <b v="1"/>
    <x v="1"/>
    <x v="1"/>
    <x v="2"/>
  </r>
  <r>
    <n v="1000000431"/>
    <x v="431"/>
    <s v="Michael Morris"/>
    <s v="['Apple', 'Power Strips', 'Pickles']"/>
    <n v="3"/>
    <n v="54.84"/>
    <x v="1"/>
    <x v="5"/>
    <x v="5"/>
    <b v="0"/>
    <x v="6"/>
    <x v="0"/>
    <x v="1"/>
  </r>
  <r>
    <n v="1000000432"/>
    <x v="432"/>
    <s v="Mrs. Jessica Pennington"/>
    <s v="['Cereal Bars', 'Rice']"/>
    <n v="8"/>
    <n v="80.58"/>
    <x v="0"/>
    <x v="0"/>
    <x v="2"/>
    <b v="0"/>
    <x v="2"/>
    <x v="2"/>
    <x v="1"/>
  </r>
  <r>
    <n v="1000000433"/>
    <x v="433"/>
    <s v="Brian Williams"/>
    <s v="['Extension Cords', 'Soap', 'Toothpaste', 'Ice Cream']"/>
    <n v="2"/>
    <n v="93.23"/>
    <x v="1"/>
    <x v="9"/>
    <x v="4"/>
    <b v="0"/>
    <x v="2"/>
    <x v="1"/>
    <x v="1"/>
  </r>
  <r>
    <n v="1000000434"/>
    <x v="434"/>
    <s v="Tanya Jones"/>
    <s v="['Deodorant', 'Bath Towels', 'Shaving Cream', 'Feminine Hygiene Products', 'Water']"/>
    <n v="7"/>
    <n v="17.5"/>
    <x v="1"/>
    <x v="4"/>
    <x v="3"/>
    <b v="1"/>
    <x v="4"/>
    <x v="3"/>
    <x v="0"/>
  </r>
  <r>
    <n v="1000000435"/>
    <x v="435"/>
    <s v="Greg Chandler"/>
    <s v="['Tuna', 'Banana', 'Cleaning Rags', 'Hand Sanitizer']"/>
    <n v="1"/>
    <n v="13.97"/>
    <x v="0"/>
    <x v="7"/>
    <x v="2"/>
    <b v="0"/>
    <x v="0"/>
    <x v="2"/>
    <x v="0"/>
  </r>
  <r>
    <n v="1000000436"/>
    <x v="436"/>
    <s v="Yvonne Garcia"/>
    <s v="['Insect Repellent']"/>
    <n v="4"/>
    <n v="89.88"/>
    <x v="3"/>
    <x v="7"/>
    <x v="2"/>
    <b v="1"/>
    <x v="6"/>
    <x v="1"/>
    <x v="0"/>
  </r>
  <r>
    <n v="1000000437"/>
    <x v="437"/>
    <s v="Tyler Clark"/>
    <s v="['Eggs', 'Dustpan', 'Soda']"/>
    <n v="9"/>
    <n v="50.01"/>
    <x v="1"/>
    <x v="3"/>
    <x v="3"/>
    <b v="0"/>
    <x v="4"/>
    <x v="0"/>
    <x v="0"/>
  </r>
  <r>
    <n v="1000000438"/>
    <x v="438"/>
    <s v="Carla Arias"/>
    <s v="['Trash Cans', 'Chips']"/>
    <n v="1"/>
    <n v="59.04"/>
    <x v="0"/>
    <x v="3"/>
    <x v="0"/>
    <b v="0"/>
    <x v="4"/>
    <x v="1"/>
    <x v="2"/>
  </r>
  <r>
    <n v="1000000439"/>
    <x v="439"/>
    <s v="Matthew Taylor"/>
    <s v="['Insect Repellent', 'Vacuum Cleaner', 'Extension Cords', 'Canned Soup', 'Air Freshener']"/>
    <n v="6"/>
    <n v="5.78"/>
    <x v="0"/>
    <x v="9"/>
    <x v="5"/>
    <b v="0"/>
    <x v="3"/>
    <x v="3"/>
    <x v="2"/>
  </r>
  <r>
    <n v="1000000440"/>
    <x v="440"/>
    <s v="Angela Higgins"/>
    <s v="['Vacuum Cleaner', 'Iron', 'Shampoo']"/>
    <n v="6"/>
    <n v="89.88"/>
    <x v="3"/>
    <x v="1"/>
    <x v="5"/>
    <b v="0"/>
    <x v="3"/>
    <x v="1"/>
    <x v="2"/>
  </r>
  <r>
    <n v="1000000441"/>
    <x v="441"/>
    <s v="Erin Giles"/>
    <s v="['Salmon', 'Ironing Board', 'Hand Sanitizer', 'Milk']"/>
    <n v="1"/>
    <n v="12.66"/>
    <x v="0"/>
    <x v="9"/>
    <x v="5"/>
    <b v="1"/>
    <x v="3"/>
    <x v="0"/>
    <x v="1"/>
  </r>
  <r>
    <n v="1000000442"/>
    <x v="442"/>
    <s v="Michael Huffman"/>
    <s v="['Mop']"/>
    <n v="8"/>
    <n v="78.09"/>
    <x v="2"/>
    <x v="2"/>
    <x v="0"/>
    <b v="0"/>
    <x v="4"/>
    <x v="1"/>
    <x v="2"/>
  </r>
  <r>
    <n v="1000000443"/>
    <x v="443"/>
    <s v="Paul Walls"/>
    <s v="['Hair Gel', 'Tuna', 'Banana']"/>
    <n v="1"/>
    <n v="68.209999999999994"/>
    <x v="1"/>
    <x v="3"/>
    <x v="4"/>
    <b v="1"/>
    <x v="4"/>
    <x v="3"/>
    <x v="1"/>
  </r>
  <r>
    <n v="1000000444"/>
    <x v="444"/>
    <s v="James Henderson"/>
    <s v="['Bread', 'Spinach', 'Trash Bags']"/>
    <n v="6"/>
    <n v="71.260000000000005"/>
    <x v="2"/>
    <x v="4"/>
    <x v="4"/>
    <b v="0"/>
    <x v="5"/>
    <x v="0"/>
    <x v="1"/>
  </r>
  <r>
    <n v="1000000445"/>
    <x v="445"/>
    <s v="Melanie Page"/>
    <s v="['Baby Wipes', 'Cleaning Rags', 'Toothbrush']"/>
    <n v="9"/>
    <n v="97.06"/>
    <x v="1"/>
    <x v="9"/>
    <x v="1"/>
    <b v="0"/>
    <x v="6"/>
    <x v="0"/>
    <x v="1"/>
  </r>
  <r>
    <n v="1000000446"/>
    <x v="446"/>
    <s v="Kenneth Cowan"/>
    <s v="['Peanut Butter']"/>
    <n v="6"/>
    <n v="58.42"/>
    <x v="1"/>
    <x v="9"/>
    <x v="3"/>
    <b v="1"/>
    <x v="3"/>
    <x v="3"/>
    <x v="1"/>
  </r>
  <r>
    <n v="1000000447"/>
    <x v="447"/>
    <s v="Crystal Lewis"/>
    <s v="['Soap', 'Tuna', 'Broom', 'Mop']"/>
    <n v="9"/>
    <n v="96.59"/>
    <x v="3"/>
    <x v="2"/>
    <x v="0"/>
    <b v="0"/>
    <x v="1"/>
    <x v="2"/>
    <x v="0"/>
  </r>
  <r>
    <n v="1000000448"/>
    <x v="448"/>
    <s v="Peter Berg"/>
    <s v="['Laundry Detergent', 'Pasta']"/>
    <n v="7"/>
    <n v="71.94"/>
    <x v="3"/>
    <x v="8"/>
    <x v="0"/>
    <b v="1"/>
    <x v="0"/>
    <x v="0"/>
    <x v="2"/>
  </r>
  <r>
    <n v="1000000449"/>
    <x v="449"/>
    <s v="Deborah Richardson"/>
    <s v="['Tuna', 'Hand Sanitizer']"/>
    <n v="3"/>
    <n v="45.73"/>
    <x v="0"/>
    <x v="2"/>
    <x v="5"/>
    <b v="0"/>
    <x v="1"/>
    <x v="2"/>
    <x v="0"/>
  </r>
  <r>
    <n v="1000000450"/>
    <x v="450"/>
    <s v="Diane Ford"/>
    <s v="['Pasta', 'Cleaning Rags']"/>
    <n v="5"/>
    <n v="33.03"/>
    <x v="1"/>
    <x v="8"/>
    <x v="4"/>
    <b v="1"/>
    <x v="0"/>
    <x v="0"/>
    <x v="0"/>
  </r>
  <r>
    <n v="1000000451"/>
    <x v="451"/>
    <s v="Stephanie Brown"/>
    <s v="['Soda', 'Orange']"/>
    <n v="4"/>
    <n v="62.22"/>
    <x v="2"/>
    <x v="0"/>
    <x v="1"/>
    <b v="1"/>
    <x v="5"/>
    <x v="1"/>
    <x v="2"/>
  </r>
  <r>
    <n v="1000000452"/>
    <x v="452"/>
    <s v="Wesley Santos"/>
    <s v="['Diapers', 'Laundry Detergent']"/>
    <n v="8"/>
    <n v="7.86"/>
    <x v="2"/>
    <x v="9"/>
    <x v="3"/>
    <b v="0"/>
    <x v="4"/>
    <x v="2"/>
    <x v="0"/>
  </r>
  <r>
    <n v="1000000453"/>
    <x v="453"/>
    <s v="Erik Butler"/>
    <s v="['Feminine Hygiene Products', 'Toothpaste', 'Dustpan', 'Razors']"/>
    <n v="1"/>
    <n v="61.3"/>
    <x v="1"/>
    <x v="0"/>
    <x v="4"/>
    <b v="1"/>
    <x v="1"/>
    <x v="2"/>
    <x v="2"/>
  </r>
  <r>
    <n v="1000000454"/>
    <x v="454"/>
    <s v="Andrea Weeks"/>
    <s v="['Carrots', 'Baby Wipes', 'Dustpan', 'Canned Soup']"/>
    <n v="10"/>
    <n v="45.61"/>
    <x v="0"/>
    <x v="5"/>
    <x v="3"/>
    <b v="1"/>
    <x v="2"/>
    <x v="1"/>
    <x v="0"/>
  </r>
  <r>
    <n v="1000000455"/>
    <x v="455"/>
    <s v="Christopher Small"/>
    <s v="['Light Bulbs', 'Coffee']"/>
    <n v="10"/>
    <n v="71.17"/>
    <x v="3"/>
    <x v="4"/>
    <x v="0"/>
    <b v="1"/>
    <x v="1"/>
    <x v="3"/>
    <x v="1"/>
  </r>
  <r>
    <n v="1000000456"/>
    <x v="456"/>
    <s v="Hannah Baird"/>
    <s v="['Tissues', 'Dish Soap', 'Water', 'Tissues', 'Chips']"/>
    <n v="5"/>
    <n v="51.07"/>
    <x v="2"/>
    <x v="9"/>
    <x v="5"/>
    <b v="0"/>
    <x v="3"/>
    <x v="0"/>
    <x v="0"/>
  </r>
  <r>
    <n v="1000000457"/>
    <x v="457"/>
    <s v="Rebecca Velazquez"/>
    <s v="['Vinegar']"/>
    <n v="2"/>
    <n v="75.97"/>
    <x v="2"/>
    <x v="0"/>
    <x v="2"/>
    <b v="0"/>
    <x v="6"/>
    <x v="2"/>
    <x v="0"/>
  </r>
  <r>
    <n v="1000000458"/>
    <x v="458"/>
    <s v="Crystal Jones"/>
    <s v="['Insect Repellent']"/>
    <n v="7"/>
    <n v="78.88"/>
    <x v="0"/>
    <x v="1"/>
    <x v="4"/>
    <b v="1"/>
    <x v="2"/>
    <x v="1"/>
    <x v="0"/>
  </r>
  <r>
    <n v="1000000459"/>
    <x v="459"/>
    <s v="Bradley Lawrence"/>
    <s v="['Chicken']"/>
    <n v="5"/>
    <n v="52.55"/>
    <x v="2"/>
    <x v="5"/>
    <x v="3"/>
    <b v="1"/>
    <x v="6"/>
    <x v="1"/>
    <x v="0"/>
  </r>
  <r>
    <n v="1000000460"/>
    <x v="460"/>
    <s v="Heather Hogan"/>
    <s v="['Rice', 'Extension Cords', 'Bread']"/>
    <n v="3"/>
    <n v="71.47"/>
    <x v="0"/>
    <x v="4"/>
    <x v="4"/>
    <b v="1"/>
    <x v="4"/>
    <x v="0"/>
    <x v="0"/>
  </r>
  <r>
    <n v="1000000461"/>
    <x v="461"/>
    <s v="Joseph Marquez"/>
    <s v="['Cleaning Spray', 'Water', 'Butter', 'Baby Wipes', 'Soap']"/>
    <n v="6"/>
    <n v="96.99"/>
    <x v="2"/>
    <x v="0"/>
    <x v="5"/>
    <b v="0"/>
    <x v="1"/>
    <x v="0"/>
    <x v="2"/>
  </r>
  <r>
    <n v="1000000462"/>
    <x v="462"/>
    <s v="Tyler Nelson"/>
    <s v="['Peanut Butter', 'Trash Cans', 'Banana']"/>
    <n v="7"/>
    <n v="71.680000000000007"/>
    <x v="3"/>
    <x v="8"/>
    <x v="4"/>
    <b v="1"/>
    <x v="5"/>
    <x v="0"/>
    <x v="1"/>
  </r>
  <r>
    <n v="1000000463"/>
    <x v="463"/>
    <s v="Todd Vaughn"/>
    <s v="['Hand Sanitizer', 'Deodorant', 'Coffee']"/>
    <n v="5"/>
    <n v="20.13"/>
    <x v="3"/>
    <x v="0"/>
    <x v="5"/>
    <b v="0"/>
    <x v="2"/>
    <x v="2"/>
    <x v="0"/>
  </r>
  <r>
    <n v="1000000464"/>
    <x v="464"/>
    <s v="Jose Hale"/>
    <s v="['Canned Soup', 'Water', 'Chips', 'Toothpaste', 'Banana']"/>
    <n v="10"/>
    <n v="69.64"/>
    <x v="3"/>
    <x v="3"/>
    <x v="5"/>
    <b v="0"/>
    <x v="3"/>
    <x v="0"/>
    <x v="1"/>
  </r>
  <r>
    <n v="1000000465"/>
    <x v="465"/>
    <s v="Collin Nash"/>
    <s v="['BBQ Sauce', 'Chicken', 'Tuna']"/>
    <n v="10"/>
    <n v="46.18"/>
    <x v="3"/>
    <x v="6"/>
    <x v="0"/>
    <b v="0"/>
    <x v="6"/>
    <x v="0"/>
    <x v="0"/>
  </r>
  <r>
    <n v="1000000466"/>
    <x v="466"/>
    <s v="Jeff Fowler"/>
    <s v="['Sponges', 'Yogurt']"/>
    <n v="7"/>
    <n v="22.29"/>
    <x v="2"/>
    <x v="3"/>
    <x v="5"/>
    <b v="0"/>
    <x v="4"/>
    <x v="0"/>
    <x v="0"/>
  </r>
  <r>
    <n v="1000000467"/>
    <x v="467"/>
    <s v="Benjamin Lee"/>
    <s v="['Milk']"/>
    <n v="2"/>
    <n v="17.37"/>
    <x v="1"/>
    <x v="0"/>
    <x v="3"/>
    <b v="1"/>
    <x v="0"/>
    <x v="2"/>
    <x v="0"/>
  </r>
  <r>
    <n v="1000000468"/>
    <x v="468"/>
    <s v="Michael Padilla"/>
    <s v="['Beef', 'Shower Gel']"/>
    <n v="7"/>
    <n v="6.66"/>
    <x v="2"/>
    <x v="0"/>
    <x v="1"/>
    <b v="1"/>
    <x v="3"/>
    <x v="2"/>
    <x v="0"/>
  </r>
  <r>
    <n v="1000000469"/>
    <x v="469"/>
    <s v="Stephanie Jackson"/>
    <s v="['Soap']"/>
    <n v="6"/>
    <n v="44.44"/>
    <x v="2"/>
    <x v="5"/>
    <x v="2"/>
    <b v="1"/>
    <x v="3"/>
    <x v="0"/>
    <x v="1"/>
  </r>
  <r>
    <n v="1000000470"/>
    <x v="470"/>
    <s v="Thomas Mcintyre"/>
    <s v="['Toothbrush', 'Banana', 'Pancake Mix', 'Carrots', 'Pasta']"/>
    <n v="5"/>
    <n v="33.549999999999997"/>
    <x v="3"/>
    <x v="3"/>
    <x v="0"/>
    <b v="1"/>
    <x v="3"/>
    <x v="0"/>
    <x v="2"/>
  </r>
  <r>
    <n v="1000000471"/>
    <x v="471"/>
    <s v="Robert Davis"/>
    <s v="['Power Strips', 'Shower Gel']"/>
    <n v="1"/>
    <n v="35.450000000000003"/>
    <x v="3"/>
    <x v="8"/>
    <x v="1"/>
    <b v="0"/>
    <x v="4"/>
    <x v="2"/>
    <x v="0"/>
  </r>
  <r>
    <n v="1000000472"/>
    <x v="472"/>
    <s v="Marc Decker"/>
    <s v="['Mop', 'Shaving Cream']"/>
    <n v="10"/>
    <n v="60.54"/>
    <x v="2"/>
    <x v="8"/>
    <x v="3"/>
    <b v="1"/>
    <x v="6"/>
    <x v="1"/>
    <x v="1"/>
  </r>
  <r>
    <n v="1000000473"/>
    <x v="473"/>
    <s v="Shawn Morris"/>
    <s v="['Olive Oil']"/>
    <n v="2"/>
    <n v="73.89"/>
    <x v="2"/>
    <x v="4"/>
    <x v="5"/>
    <b v="0"/>
    <x v="3"/>
    <x v="1"/>
    <x v="0"/>
  </r>
  <r>
    <n v="1000000474"/>
    <x v="474"/>
    <s v="Denise Vaughan"/>
    <s v="['Honey', 'Chips']"/>
    <n v="9"/>
    <n v="89.62"/>
    <x v="3"/>
    <x v="7"/>
    <x v="5"/>
    <b v="0"/>
    <x v="2"/>
    <x v="2"/>
    <x v="0"/>
  </r>
  <r>
    <n v="1000000475"/>
    <x v="475"/>
    <s v="Sarah Harris"/>
    <s v="['Cereal', 'Trash Bags', 'Iron', 'Shampoo']"/>
    <n v="1"/>
    <n v="98.52"/>
    <x v="0"/>
    <x v="9"/>
    <x v="5"/>
    <b v="1"/>
    <x v="3"/>
    <x v="0"/>
    <x v="0"/>
  </r>
  <r>
    <n v="1000000476"/>
    <x v="476"/>
    <s v="Brian Cole"/>
    <s v="['Soap', 'Toothpaste']"/>
    <n v="8"/>
    <n v="56.83"/>
    <x v="0"/>
    <x v="8"/>
    <x v="5"/>
    <b v="0"/>
    <x v="3"/>
    <x v="2"/>
    <x v="2"/>
  </r>
  <r>
    <n v="1000000477"/>
    <x v="477"/>
    <s v="Scott Jenkins"/>
    <s v="['Iron', 'Light Bulbs', 'Pancake Mix', 'Yogurt', 'Tissues']"/>
    <n v="2"/>
    <n v="71.66"/>
    <x v="1"/>
    <x v="6"/>
    <x v="1"/>
    <b v="1"/>
    <x v="3"/>
    <x v="2"/>
    <x v="1"/>
  </r>
  <r>
    <n v="1000000478"/>
    <x v="478"/>
    <s v="John Goodwin"/>
    <s v="['Mayonnaise']"/>
    <n v="9"/>
    <n v="42.88"/>
    <x v="3"/>
    <x v="3"/>
    <x v="2"/>
    <b v="0"/>
    <x v="5"/>
    <x v="2"/>
    <x v="2"/>
  </r>
  <r>
    <n v="1000000479"/>
    <x v="479"/>
    <s v="Ashley Ortiz"/>
    <s v="['Cereal Bars', 'Mayonnaise', 'Mayonnaise', 'Banana']"/>
    <n v="9"/>
    <n v="65.709999999999994"/>
    <x v="1"/>
    <x v="3"/>
    <x v="0"/>
    <b v="1"/>
    <x v="2"/>
    <x v="2"/>
    <x v="1"/>
  </r>
  <r>
    <n v="1000000480"/>
    <x v="480"/>
    <s v="Cynthia Harper"/>
    <s v="['Trash Cans', 'Toothpaste']"/>
    <n v="6"/>
    <n v="61.61"/>
    <x v="2"/>
    <x v="6"/>
    <x v="5"/>
    <b v="1"/>
    <x v="6"/>
    <x v="1"/>
    <x v="0"/>
  </r>
  <r>
    <n v="1000000481"/>
    <x v="481"/>
    <s v="John Taylor DDS"/>
    <s v="['Light Bulbs', 'Jam']"/>
    <n v="8"/>
    <n v="76.45"/>
    <x v="2"/>
    <x v="1"/>
    <x v="3"/>
    <b v="0"/>
    <x v="5"/>
    <x v="0"/>
    <x v="0"/>
  </r>
  <r>
    <n v="1000000482"/>
    <x v="482"/>
    <s v="Jennifer West"/>
    <s v="['Ketchup', 'Olive Oil', 'Lawn Mower']"/>
    <n v="9"/>
    <n v="91"/>
    <x v="2"/>
    <x v="0"/>
    <x v="0"/>
    <b v="0"/>
    <x v="7"/>
    <x v="3"/>
    <x v="2"/>
  </r>
  <r>
    <n v="1000000483"/>
    <x v="483"/>
    <s v="Toni Sanchez"/>
    <s v="['Feminine Hygiene Products', 'Deodorant']"/>
    <n v="6"/>
    <n v="20.170000000000002"/>
    <x v="3"/>
    <x v="8"/>
    <x v="3"/>
    <b v="1"/>
    <x v="3"/>
    <x v="2"/>
    <x v="2"/>
  </r>
  <r>
    <n v="1000000484"/>
    <x v="484"/>
    <s v="Ronald Mills"/>
    <s v="['Feminine Hygiene Products', 'Plant Fertilizer', 'Spinach', 'Cleaning Spray']"/>
    <n v="1"/>
    <n v="62"/>
    <x v="0"/>
    <x v="9"/>
    <x v="2"/>
    <b v="0"/>
    <x v="6"/>
    <x v="3"/>
    <x v="0"/>
  </r>
  <r>
    <n v="1000000485"/>
    <x v="485"/>
    <s v="Kevin Underwood"/>
    <s v="['Dustpan', 'Razors', 'Mop']"/>
    <n v="1"/>
    <n v="6.93"/>
    <x v="1"/>
    <x v="8"/>
    <x v="4"/>
    <b v="0"/>
    <x v="6"/>
    <x v="0"/>
    <x v="2"/>
  </r>
  <r>
    <n v="1000000486"/>
    <x v="486"/>
    <s v="Jason Acosta"/>
    <s v="['Olive Oil', 'Lawn Mower', 'Toothpaste']"/>
    <n v="10"/>
    <n v="71.38"/>
    <x v="0"/>
    <x v="3"/>
    <x v="5"/>
    <b v="0"/>
    <x v="1"/>
    <x v="0"/>
    <x v="1"/>
  </r>
  <r>
    <n v="1000000487"/>
    <x v="487"/>
    <s v="Tracy Downs"/>
    <s v="['Mustard', 'Cleaning Rags', 'Iron', 'Toothbrush', 'Hand Sanitizer']"/>
    <n v="4"/>
    <n v="49.72"/>
    <x v="3"/>
    <x v="1"/>
    <x v="1"/>
    <b v="0"/>
    <x v="5"/>
    <x v="1"/>
    <x v="0"/>
  </r>
  <r>
    <n v="1000000488"/>
    <x v="488"/>
    <s v="Tracy Kerr"/>
    <s v="['Baby Wipes', 'Insect Repellent']"/>
    <n v="7"/>
    <n v="26.82"/>
    <x v="1"/>
    <x v="2"/>
    <x v="5"/>
    <b v="1"/>
    <x v="5"/>
    <x v="1"/>
    <x v="0"/>
  </r>
  <r>
    <n v="1000000489"/>
    <x v="489"/>
    <s v="Michelle Moreno"/>
    <s v="['Shaving Cream', 'Air Freshener', 'Mop', 'Butter', 'Chips']"/>
    <n v="3"/>
    <n v="7.78"/>
    <x v="0"/>
    <x v="5"/>
    <x v="4"/>
    <b v="0"/>
    <x v="0"/>
    <x v="3"/>
    <x v="1"/>
  </r>
  <r>
    <n v="1000000490"/>
    <x v="490"/>
    <s v="Douglas Schultz Jr."/>
    <s v="['Pasta', 'Orange', 'Extension Cords']"/>
    <n v="7"/>
    <n v="29.65"/>
    <x v="2"/>
    <x v="6"/>
    <x v="5"/>
    <b v="0"/>
    <x v="7"/>
    <x v="0"/>
    <x v="1"/>
  </r>
  <r>
    <n v="1000000491"/>
    <x v="491"/>
    <s v="Travis Brooks"/>
    <s v="['Pickles']"/>
    <n v="2"/>
    <n v="16.760000000000002"/>
    <x v="2"/>
    <x v="9"/>
    <x v="0"/>
    <b v="0"/>
    <x v="3"/>
    <x v="1"/>
    <x v="2"/>
  </r>
  <r>
    <n v="1000000492"/>
    <x v="492"/>
    <s v="Ashley Schultz"/>
    <s v="['Dish Soap']"/>
    <n v="1"/>
    <n v="69.84"/>
    <x v="1"/>
    <x v="7"/>
    <x v="2"/>
    <b v="0"/>
    <x v="2"/>
    <x v="0"/>
    <x v="0"/>
  </r>
  <r>
    <n v="1000000493"/>
    <x v="493"/>
    <s v="James Hubbard"/>
    <s v="['Pasta', 'Ketchup', 'Bread', 'Butter', 'Soda']"/>
    <n v="10"/>
    <n v="44.87"/>
    <x v="2"/>
    <x v="0"/>
    <x v="4"/>
    <b v="0"/>
    <x v="7"/>
    <x v="2"/>
    <x v="1"/>
  </r>
  <r>
    <n v="1000000494"/>
    <x v="494"/>
    <s v="Barbara Mendez MD"/>
    <s v="['Pasta', 'Carrots', 'Butter']"/>
    <n v="3"/>
    <n v="41.59"/>
    <x v="2"/>
    <x v="0"/>
    <x v="2"/>
    <b v="0"/>
    <x v="7"/>
    <x v="2"/>
    <x v="1"/>
  </r>
  <r>
    <n v="1000000495"/>
    <x v="495"/>
    <s v="Jonathan Spears"/>
    <s v="['Toothpaste', 'Mustard', 'Dishware', 'Cereal Bars']"/>
    <n v="8"/>
    <n v="6.12"/>
    <x v="1"/>
    <x v="1"/>
    <x v="1"/>
    <b v="1"/>
    <x v="4"/>
    <x v="2"/>
    <x v="0"/>
  </r>
  <r>
    <n v="1000000496"/>
    <x v="496"/>
    <s v="Tiffany Clark"/>
    <s v="['Mop', 'Honey', 'Iron', 'Diapers']"/>
    <n v="2"/>
    <n v="54.15"/>
    <x v="3"/>
    <x v="1"/>
    <x v="5"/>
    <b v="1"/>
    <x v="4"/>
    <x v="2"/>
    <x v="0"/>
  </r>
  <r>
    <n v="1000000497"/>
    <x v="497"/>
    <s v="Michelle Acosta"/>
    <s v="['Carrots']"/>
    <n v="7"/>
    <n v="58.57"/>
    <x v="2"/>
    <x v="7"/>
    <x v="4"/>
    <b v="0"/>
    <x v="4"/>
    <x v="0"/>
    <x v="0"/>
  </r>
  <r>
    <n v="1000000498"/>
    <x v="498"/>
    <s v="Erica Morales"/>
    <s v="['Ironing Board', 'Feminine Hygiene Products', 'Bath Towels', 'Jam']"/>
    <n v="2"/>
    <n v="97.37"/>
    <x v="1"/>
    <x v="8"/>
    <x v="1"/>
    <b v="1"/>
    <x v="4"/>
    <x v="2"/>
    <x v="1"/>
  </r>
  <r>
    <n v="1000000499"/>
    <x v="499"/>
    <s v="Heather Peterson"/>
    <s v="['Cereal Bars', 'Tomatoes', 'Toothpaste', 'Honey', 'Shampoo']"/>
    <n v="10"/>
    <n v="18.18"/>
    <x v="1"/>
    <x v="6"/>
    <x v="0"/>
    <b v="0"/>
    <x v="6"/>
    <x v="2"/>
    <x v="1"/>
  </r>
  <r>
    <n v="1000000500"/>
    <x v="500"/>
    <s v="Terri May"/>
    <s v="['Ketchup', 'Tea']"/>
    <n v="2"/>
    <n v="21.45"/>
    <x v="0"/>
    <x v="9"/>
    <x v="0"/>
    <b v="1"/>
    <x v="2"/>
    <x v="2"/>
    <x v="0"/>
  </r>
  <r>
    <n v="1000000501"/>
    <x v="501"/>
    <s v="Lisa Cooper"/>
    <s v="['Mayonnaise', 'Toothpaste', 'Vinegar']"/>
    <n v="8"/>
    <n v="41.27"/>
    <x v="3"/>
    <x v="5"/>
    <x v="2"/>
    <b v="0"/>
    <x v="3"/>
    <x v="1"/>
    <x v="0"/>
  </r>
  <r>
    <n v="1000000502"/>
    <x v="502"/>
    <s v="Amanda Nelson"/>
    <s v="['Onions', 'Shaving Cream', 'Potatoes', 'Shower Gel']"/>
    <n v="10"/>
    <n v="96.91"/>
    <x v="0"/>
    <x v="1"/>
    <x v="2"/>
    <b v="1"/>
    <x v="6"/>
    <x v="2"/>
    <x v="1"/>
  </r>
  <r>
    <n v="1000000503"/>
    <x v="503"/>
    <s v="Matthew Ruiz"/>
    <s v="['Cereal', 'Plant Fertilizer', 'Vinegar']"/>
    <n v="7"/>
    <n v="76.44"/>
    <x v="3"/>
    <x v="8"/>
    <x v="5"/>
    <b v="1"/>
    <x v="1"/>
    <x v="0"/>
    <x v="1"/>
  </r>
  <r>
    <n v="1000000504"/>
    <x v="504"/>
    <s v="Kimberly Gallegos"/>
    <s v="['Canned Soup', 'Diapers']"/>
    <n v="6"/>
    <n v="74.569999999999993"/>
    <x v="0"/>
    <x v="7"/>
    <x v="4"/>
    <b v="1"/>
    <x v="6"/>
    <x v="1"/>
    <x v="1"/>
  </r>
  <r>
    <n v="1000000505"/>
    <x v="505"/>
    <s v="Brittany Griffin"/>
    <s v="['Garden Hose', 'Diapers', 'Banana', 'Shaving Cream', 'Cereal Bars']"/>
    <n v="10"/>
    <n v="49.75"/>
    <x v="1"/>
    <x v="4"/>
    <x v="4"/>
    <b v="0"/>
    <x v="0"/>
    <x v="2"/>
    <x v="1"/>
  </r>
  <r>
    <n v="1000000506"/>
    <x v="506"/>
    <s v="Bryan Sanford"/>
    <s v="['Hand Sanitizer', 'Eggs', 'Beef', 'Shower Gel', 'Cereal']"/>
    <n v="1"/>
    <n v="56.03"/>
    <x v="0"/>
    <x v="5"/>
    <x v="4"/>
    <b v="1"/>
    <x v="5"/>
    <x v="2"/>
    <x v="1"/>
  </r>
  <r>
    <n v="1000000507"/>
    <x v="507"/>
    <s v="Robert Robertson"/>
    <s v="['Shrimp', 'Cereal']"/>
    <n v="5"/>
    <n v="38.07"/>
    <x v="1"/>
    <x v="0"/>
    <x v="1"/>
    <b v="0"/>
    <x v="6"/>
    <x v="0"/>
    <x v="1"/>
  </r>
  <r>
    <n v="1000000508"/>
    <x v="508"/>
    <s v="Kristin Murray"/>
    <s v="['Plant Fertilizer', 'Dish Soap']"/>
    <n v="3"/>
    <n v="91.97"/>
    <x v="1"/>
    <x v="2"/>
    <x v="3"/>
    <b v="0"/>
    <x v="4"/>
    <x v="1"/>
    <x v="0"/>
  </r>
  <r>
    <n v="1000000509"/>
    <x v="509"/>
    <s v="Kimberly Torres"/>
    <s v="['Coffee', 'Cleaning Spray', 'Cereal']"/>
    <n v="10"/>
    <n v="89.52"/>
    <x v="3"/>
    <x v="2"/>
    <x v="5"/>
    <b v="1"/>
    <x v="7"/>
    <x v="2"/>
    <x v="0"/>
  </r>
  <r>
    <n v="1000000510"/>
    <x v="510"/>
    <s v="Dr. Shawn Gonzalez"/>
    <s v="['Soda', 'Trash Bags', 'Orange']"/>
    <n v="5"/>
    <n v="57.26"/>
    <x v="1"/>
    <x v="3"/>
    <x v="4"/>
    <b v="0"/>
    <x v="1"/>
    <x v="1"/>
    <x v="2"/>
  </r>
  <r>
    <n v="1000000511"/>
    <x v="511"/>
    <s v="Jonathan Waller"/>
    <s v="['Water', 'Ironing Board']"/>
    <n v="2"/>
    <n v="6.94"/>
    <x v="1"/>
    <x v="2"/>
    <x v="0"/>
    <b v="1"/>
    <x v="2"/>
    <x v="1"/>
    <x v="2"/>
  </r>
  <r>
    <n v="1000000512"/>
    <x v="512"/>
    <s v="Valerie Wilson"/>
    <s v="['Butter', 'Butter']"/>
    <n v="8"/>
    <n v="75.510000000000005"/>
    <x v="0"/>
    <x v="9"/>
    <x v="5"/>
    <b v="1"/>
    <x v="7"/>
    <x v="2"/>
    <x v="0"/>
  </r>
  <r>
    <n v="1000000513"/>
    <x v="513"/>
    <s v="David Shelton"/>
    <s v="['Paper Towels', 'Jam']"/>
    <n v="9"/>
    <n v="81.78"/>
    <x v="2"/>
    <x v="3"/>
    <x v="0"/>
    <b v="0"/>
    <x v="0"/>
    <x v="3"/>
    <x v="2"/>
  </r>
  <r>
    <n v="1000000514"/>
    <x v="514"/>
    <s v="Jody Martin"/>
    <s v="['Ice Cream']"/>
    <n v="1"/>
    <n v="84.65"/>
    <x v="3"/>
    <x v="9"/>
    <x v="5"/>
    <b v="0"/>
    <x v="5"/>
    <x v="2"/>
    <x v="0"/>
  </r>
  <r>
    <n v="1000000515"/>
    <x v="515"/>
    <s v="Brooke Larson"/>
    <s v="['Power Strips', 'Trash Bags', 'Cereal Bars']"/>
    <n v="5"/>
    <n v="8.6300000000000008"/>
    <x v="0"/>
    <x v="6"/>
    <x v="1"/>
    <b v="1"/>
    <x v="7"/>
    <x v="2"/>
    <x v="2"/>
  </r>
  <r>
    <n v="1000000516"/>
    <x v="516"/>
    <s v="Kristin Saunders"/>
    <s v="['Shower Gel', 'Baby Wipes']"/>
    <n v="5"/>
    <n v="37.33"/>
    <x v="0"/>
    <x v="1"/>
    <x v="3"/>
    <b v="0"/>
    <x v="2"/>
    <x v="1"/>
    <x v="1"/>
  </r>
  <r>
    <n v="1000000517"/>
    <x v="517"/>
    <s v="Jacob Kennedy"/>
    <s v="['Bath Towels', 'Iron', 'Pickles']"/>
    <n v="10"/>
    <n v="22.79"/>
    <x v="1"/>
    <x v="8"/>
    <x v="1"/>
    <b v="1"/>
    <x v="4"/>
    <x v="0"/>
    <x v="2"/>
  </r>
  <r>
    <n v="1000000518"/>
    <x v="518"/>
    <s v="Tracy Pham"/>
    <s v="['Pasta', 'Light Bulbs']"/>
    <n v="3"/>
    <n v="92.43"/>
    <x v="3"/>
    <x v="5"/>
    <x v="3"/>
    <b v="1"/>
    <x v="3"/>
    <x v="3"/>
    <x v="2"/>
  </r>
  <r>
    <n v="1000000519"/>
    <x v="519"/>
    <s v="Vickie Callahan"/>
    <s v="['Bath Towels', 'Diapers', 'Laundry Detergent']"/>
    <n v="4"/>
    <n v="50.08"/>
    <x v="2"/>
    <x v="8"/>
    <x v="0"/>
    <b v="0"/>
    <x v="4"/>
    <x v="2"/>
    <x v="1"/>
  </r>
  <r>
    <n v="1000000520"/>
    <x v="520"/>
    <s v="Natalie Armstrong"/>
    <s v="['Vacuum Cleaner']"/>
    <n v="4"/>
    <n v="69.819999999999993"/>
    <x v="3"/>
    <x v="1"/>
    <x v="2"/>
    <b v="0"/>
    <x v="7"/>
    <x v="2"/>
    <x v="1"/>
  </r>
  <r>
    <n v="1000000521"/>
    <x v="521"/>
    <s v="Angelica Davis"/>
    <s v="['Hand Sanitizer', 'Bath Towels', 'Carrots', 'Toothpaste', 'Potatoes']"/>
    <n v="8"/>
    <n v="89.55"/>
    <x v="3"/>
    <x v="1"/>
    <x v="1"/>
    <b v="1"/>
    <x v="2"/>
    <x v="2"/>
    <x v="1"/>
  </r>
  <r>
    <n v="1000000522"/>
    <x v="522"/>
    <s v="Christian Davidson"/>
    <s v="['Spinach', 'Coffee', 'Toothpaste']"/>
    <n v="2"/>
    <n v="95.05"/>
    <x v="2"/>
    <x v="6"/>
    <x v="4"/>
    <b v="0"/>
    <x v="6"/>
    <x v="1"/>
    <x v="2"/>
  </r>
  <r>
    <n v="1000000523"/>
    <x v="523"/>
    <s v="Seth Woodward"/>
    <s v="['Vinegar', 'Salmon', 'Tuna', 'Tomatoes']"/>
    <n v="8"/>
    <n v="52.78"/>
    <x v="2"/>
    <x v="4"/>
    <x v="0"/>
    <b v="1"/>
    <x v="6"/>
    <x v="1"/>
    <x v="0"/>
  </r>
  <r>
    <n v="1000000524"/>
    <x v="524"/>
    <s v="Jordan Kennedy"/>
    <s v="['Soda', 'Shaving Cream', 'Diapers', 'Mop', 'Syrup']"/>
    <n v="2"/>
    <n v="16.559999999999999"/>
    <x v="0"/>
    <x v="0"/>
    <x v="4"/>
    <b v="1"/>
    <x v="6"/>
    <x v="1"/>
    <x v="2"/>
  </r>
  <r>
    <n v="1000000525"/>
    <x v="525"/>
    <s v="Jennifer Williams"/>
    <s v="['Cereal Bars', 'Sponges', 'Peanut Butter', 'Carrots', 'Dish Soap']"/>
    <n v="3"/>
    <n v="92.8"/>
    <x v="1"/>
    <x v="4"/>
    <x v="1"/>
    <b v="0"/>
    <x v="7"/>
    <x v="3"/>
    <x v="1"/>
  </r>
  <r>
    <n v="1000000526"/>
    <x v="526"/>
    <s v="Brenda Martinez"/>
    <s v="['Insect Repellent', 'Syrup']"/>
    <n v="4"/>
    <n v="74.44"/>
    <x v="0"/>
    <x v="0"/>
    <x v="3"/>
    <b v="0"/>
    <x v="0"/>
    <x v="2"/>
    <x v="0"/>
  </r>
  <r>
    <n v="1000000527"/>
    <x v="527"/>
    <s v="Lori Kane"/>
    <s v="['BBQ Sauce', 'Tissues']"/>
    <n v="6"/>
    <n v="65.45"/>
    <x v="2"/>
    <x v="1"/>
    <x v="0"/>
    <b v="0"/>
    <x v="3"/>
    <x v="0"/>
    <x v="2"/>
  </r>
  <r>
    <n v="1000000528"/>
    <x v="528"/>
    <s v="Joseph Chavez"/>
    <s v="['Pickles']"/>
    <n v="10"/>
    <n v="34.72"/>
    <x v="0"/>
    <x v="2"/>
    <x v="5"/>
    <b v="0"/>
    <x v="5"/>
    <x v="0"/>
    <x v="2"/>
  </r>
  <r>
    <n v="1000000529"/>
    <x v="529"/>
    <s v="Tonya Villarreal"/>
    <s v="['Pancake Mix', 'Soap', 'Salmon', 'Cereal Bars', 'Bread']"/>
    <n v="1"/>
    <n v="46.02"/>
    <x v="3"/>
    <x v="8"/>
    <x v="3"/>
    <b v="0"/>
    <x v="0"/>
    <x v="2"/>
    <x v="1"/>
  </r>
  <r>
    <n v="1000000530"/>
    <x v="530"/>
    <s v="Anthony Hawkins"/>
    <s v="['Toothbrush', 'Carrots', 'Chicken', 'Razors']"/>
    <n v="6"/>
    <n v="44.03"/>
    <x v="3"/>
    <x v="8"/>
    <x v="5"/>
    <b v="1"/>
    <x v="3"/>
    <x v="1"/>
    <x v="2"/>
  </r>
  <r>
    <n v="1000000531"/>
    <x v="531"/>
    <s v="Alyssa Ramos"/>
    <s v="['Shampoo', 'Insect Repellent', 'Lawn Mower', 'Vinegar', 'Hand Sanitizer']"/>
    <n v="6"/>
    <n v="13.36"/>
    <x v="0"/>
    <x v="0"/>
    <x v="5"/>
    <b v="0"/>
    <x v="5"/>
    <x v="2"/>
    <x v="2"/>
  </r>
  <r>
    <n v="1000000532"/>
    <x v="532"/>
    <s v="Jason Lee"/>
    <s v="['Peanut Butter']"/>
    <n v="2"/>
    <n v="6.94"/>
    <x v="2"/>
    <x v="1"/>
    <x v="3"/>
    <b v="1"/>
    <x v="3"/>
    <x v="2"/>
    <x v="1"/>
  </r>
  <r>
    <n v="1000000533"/>
    <x v="533"/>
    <s v="Alicia Mercer"/>
    <s v="['Jam', 'Tea']"/>
    <n v="8"/>
    <n v="45.15"/>
    <x v="2"/>
    <x v="7"/>
    <x v="1"/>
    <b v="1"/>
    <x v="1"/>
    <x v="3"/>
    <x v="0"/>
  </r>
  <r>
    <n v="1000000534"/>
    <x v="534"/>
    <s v="Aaron Reed"/>
    <s v="['Chips', 'Pickles', 'Peanut Butter', 'Mayonnaise']"/>
    <n v="2"/>
    <n v="48.54"/>
    <x v="0"/>
    <x v="4"/>
    <x v="3"/>
    <b v="1"/>
    <x v="4"/>
    <x v="1"/>
    <x v="2"/>
  </r>
  <r>
    <n v="1000000535"/>
    <x v="535"/>
    <s v="Garrett Miles"/>
    <s v="['Air Freshener', 'Onions', 'Carrots', 'Yogurt', 'Hand Sanitizer']"/>
    <n v="10"/>
    <n v="49.05"/>
    <x v="0"/>
    <x v="0"/>
    <x v="2"/>
    <b v="1"/>
    <x v="0"/>
    <x v="0"/>
    <x v="0"/>
  </r>
  <r>
    <n v="1000000536"/>
    <x v="536"/>
    <s v="Christopher Clark"/>
    <s v="['Toilet Paper', 'Hair Gel', 'Cereal', 'Power Strips', 'Peanut Butter']"/>
    <n v="8"/>
    <n v="68.28"/>
    <x v="0"/>
    <x v="0"/>
    <x v="4"/>
    <b v="1"/>
    <x v="6"/>
    <x v="1"/>
    <x v="0"/>
  </r>
  <r>
    <n v="1000000537"/>
    <x v="537"/>
    <s v="Andrew Newman"/>
    <s v="['Plant Fertilizer', 'Iron', 'Orange', 'Tuna', 'Salmon']"/>
    <n v="5"/>
    <n v="23.75"/>
    <x v="0"/>
    <x v="5"/>
    <x v="0"/>
    <b v="0"/>
    <x v="3"/>
    <x v="0"/>
    <x v="2"/>
  </r>
  <r>
    <n v="1000000538"/>
    <x v="538"/>
    <s v="Dana Miller"/>
    <s v="['Shower Gel', 'Canned Soup', 'Deodorant']"/>
    <n v="6"/>
    <n v="17.45"/>
    <x v="3"/>
    <x v="5"/>
    <x v="0"/>
    <b v="0"/>
    <x v="4"/>
    <x v="2"/>
    <x v="1"/>
  </r>
  <r>
    <n v="1000000539"/>
    <x v="539"/>
    <s v="Adam Rubio"/>
    <s v="['Vinegar', 'Shrimp']"/>
    <n v="1"/>
    <n v="94.08"/>
    <x v="1"/>
    <x v="7"/>
    <x v="5"/>
    <b v="0"/>
    <x v="6"/>
    <x v="3"/>
    <x v="1"/>
  </r>
  <r>
    <n v="1000000540"/>
    <x v="540"/>
    <s v="Samantha Poole"/>
    <s v="['Eggs', 'Vacuum Cleaner', 'Chips']"/>
    <n v="3"/>
    <n v="37.770000000000003"/>
    <x v="3"/>
    <x v="5"/>
    <x v="2"/>
    <b v="1"/>
    <x v="0"/>
    <x v="2"/>
    <x v="1"/>
  </r>
  <r>
    <n v="1000000541"/>
    <x v="541"/>
    <s v="Margaret Velez"/>
    <s v="['Hand Sanitizer', 'Toothpaste']"/>
    <n v="7"/>
    <n v="17.38"/>
    <x v="0"/>
    <x v="7"/>
    <x v="5"/>
    <b v="1"/>
    <x v="7"/>
    <x v="1"/>
    <x v="1"/>
  </r>
  <r>
    <n v="1000000542"/>
    <x v="542"/>
    <s v="Christian Tate"/>
    <s v="['Chicken', 'Milk', 'Plant Fertilizer', 'Soap', 'Beef']"/>
    <n v="8"/>
    <n v="96.56"/>
    <x v="3"/>
    <x v="7"/>
    <x v="2"/>
    <b v="0"/>
    <x v="6"/>
    <x v="0"/>
    <x v="0"/>
  </r>
  <r>
    <n v="1000000543"/>
    <x v="543"/>
    <s v="Matthew Wood"/>
    <s v="['Olive Oil', 'Vinegar', 'Cereal', 'Coffee', 'Hair Gel']"/>
    <n v="6"/>
    <n v="75.14"/>
    <x v="0"/>
    <x v="9"/>
    <x v="5"/>
    <b v="0"/>
    <x v="2"/>
    <x v="3"/>
    <x v="0"/>
  </r>
  <r>
    <n v="1000000544"/>
    <x v="544"/>
    <s v="Andrea Cruz"/>
    <s v="['Tea', 'Mop']"/>
    <n v="3"/>
    <n v="85.57"/>
    <x v="2"/>
    <x v="9"/>
    <x v="1"/>
    <b v="1"/>
    <x v="7"/>
    <x v="2"/>
    <x v="1"/>
  </r>
  <r>
    <n v="1000000545"/>
    <x v="545"/>
    <s v="Dawn Dawson"/>
    <s v="['Paper Towels', 'Soda']"/>
    <n v="8"/>
    <n v="84.98"/>
    <x v="2"/>
    <x v="9"/>
    <x v="4"/>
    <b v="0"/>
    <x v="4"/>
    <x v="1"/>
    <x v="1"/>
  </r>
  <r>
    <n v="1000000546"/>
    <x v="546"/>
    <s v="John Dickerson MD"/>
    <s v="['Lawn Mower', 'Paper Towels', 'Diapers']"/>
    <n v="2"/>
    <n v="50.51"/>
    <x v="2"/>
    <x v="3"/>
    <x v="3"/>
    <b v="1"/>
    <x v="6"/>
    <x v="3"/>
    <x v="2"/>
  </r>
  <r>
    <n v="1000000547"/>
    <x v="547"/>
    <s v="Ryan Stewart"/>
    <s v="['Tomatoes', 'Shrimp', 'Toilet Paper', 'Dustpan']"/>
    <n v="1"/>
    <n v="49.83"/>
    <x v="2"/>
    <x v="6"/>
    <x v="3"/>
    <b v="0"/>
    <x v="2"/>
    <x v="1"/>
    <x v="0"/>
  </r>
  <r>
    <n v="1000000548"/>
    <x v="548"/>
    <s v="Benjamin Benson"/>
    <s v="['Honey', 'Salmon', 'Power Strips']"/>
    <n v="7"/>
    <n v="20.260000000000002"/>
    <x v="1"/>
    <x v="9"/>
    <x v="4"/>
    <b v="0"/>
    <x v="5"/>
    <x v="0"/>
    <x v="1"/>
  </r>
  <r>
    <n v="1000000549"/>
    <x v="549"/>
    <s v="Karen Bond"/>
    <s v="['Vinegar', 'Power Strips', 'Feminine Hygiene Products', 'Honey']"/>
    <n v="4"/>
    <n v="73.59"/>
    <x v="3"/>
    <x v="1"/>
    <x v="3"/>
    <b v="0"/>
    <x v="5"/>
    <x v="2"/>
    <x v="1"/>
  </r>
  <r>
    <n v="1000000550"/>
    <x v="550"/>
    <s v="Karen Hernandez"/>
    <s v="['Garden Hose', 'Peanut Butter', 'Eggs', 'Shaving Cream', 'Ice Cream']"/>
    <n v="9"/>
    <n v="96.26"/>
    <x v="2"/>
    <x v="6"/>
    <x v="4"/>
    <b v="1"/>
    <x v="1"/>
    <x v="1"/>
    <x v="0"/>
  </r>
  <r>
    <n v="1000000551"/>
    <x v="551"/>
    <s v="Carolyn Owens"/>
    <s v="['Broom', 'Rice', 'Carrots']"/>
    <n v="7"/>
    <n v="95.11"/>
    <x v="2"/>
    <x v="7"/>
    <x v="3"/>
    <b v="0"/>
    <x v="1"/>
    <x v="3"/>
    <x v="1"/>
  </r>
  <r>
    <n v="1000000552"/>
    <x v="552"/>
    <s v="Gregory Baker"/>
    <s v="['Syrup', 'Baby Wipes', 'Paper Towels']"/>
    <n v="6"/>
    <n v="16.98"/>
    <x v="3"/>
    <x v="9"/>
    <x v="2"/>
    <b v="1"/>
    <x v="4"/>
    <x v="1"/>
    <x v="2"/>
  </r>
  <r>
    <n v="1000000553"/>
    <x v="553"/>
    <s v="Elizabeth Wagner"/>
    <s v="['Mayonnaise', 'Olive Oil', 'Cleaning Rags', 'Lawn Mower', 'Trash Bags']"/>
    <n v="10"/>
    <n v="85.57"/>
    <x v="2"/>
    <x v="6"/>
    <x v="5"/>
    <b v="0"/>
    <x v="6"/>
    <x v="2"/>
    <x v="0"/>
  </r>
  <r>
    <n v="1000000554"/>
    <x v="554"/>
    <s v="Eric Smith"/>
    <s v="['Salmon', 'Trash Cans']"/>
    <n v="6"/>
    <n v="83.33"/>
    <x v="2"/>
    <x v="3"/>
    <x v="2"/>
    <b v="1"/>
    <x v="1"/>
    <x v="3"/>
    <x v="0"/>
  </r>
  <r>
    <n v="1000000555"/>
    <x v="555"/>
    <s v="Rodney Mcgee"/>
    <s v="['Tissues', 'Potatoes', 'Yogurt', 'Beef', 'Hand Sanitizer']"/>
    <n v="1"/>
    <n v="25.57"/>
    <x v="2"/>
    <x v="9"/>
    <x v="5"/>
    <b v="1"/>
    <x v="4"/>
    <x v="2"/>
    <x v="0"/>
  </r>
  <r>
    <n v="1000000556"/>
    <x v="556"/>
    <s v="Nicole Gaines"/>
    <s v="['Spinach', 'Cheese', 'Tissues', 'Cheese']"/>
    <n v="5"/>
    <n v="50.64"/>
    <x v="2"/>
    <x v="2"/>
    <x v="3"/>
    <b v="1"/>
    <x v="4"/>
    <x v="3"/>
    <x v="2"/>
  </r>
  <r>
    <n v="1000000557"/>
    <x v="557"/>
    <s v="Sandra Marshall"/>
    <s v="['Broom', 'Mustard', 'Garden Hose', 'Honey']"/>
    <n v="3"/>
    <n v="71.260000000000005"/>
    <x v="1"/>
    <x v="1"/>
    <x v="3"/>
    <b v="0"/>
    <x v="2"/>
    <x v="0"/>
    <x v="2"/>
  </r>
  <r>
    <n v="1000000558"/>
    <x v="558"/>
    <s v="Kimberly Anderson"/>
    <s v="['Light Bulbs']"/>
    <n v="8"/>
    <n v="44.29"/>
    <x v="2"/>
    <x v="7"/>
    <x v="2"/>
    <b v="0"/>
    <x v="1"/>
    <x v="2"/>
    <x v="1"/>
  </r>
  <r>
    <n v="1000000559"/>
    <x v="559"/>
    <s v="Jennifer Garcia"/>
    <s v="['Carrots']"/>
    <n v="8"/>
    <n v="73.02"/>
    <x v="1"/>
    <x v="1"/>
    <x v="5"/>
    <b v="1"/>
    <x v="3"/>
    <x v="3"/>
    <x v="0"/>
  </r>
  <r>
    <n v="1000000560"/>
    <x v="560"/>
    <s v="Rachel Garcia"/>
    <s v="['Apple']"/>
    <n v="5"/>
    <n v="76.31"/>
    <x v="1"/>
    <x v="8"/>
    <x v="5"/>
    <b v="1"/>
    <x v="6"/>
    <x v="0"/>
    <x v="2"/>
  </r>
  <r>
    <n v="1000000561"/>
    <x v="561"/>
    <s v="Kathryn White"/>
    <s v="['Mop', 'Tuna', 'Honey', 'Water', 'Vacuum Cleaner']"/>
    <n v="1"/>
    <n v="22.44"/>
    <x v="0"/>
    <x v="5"/>
    <x v="3"/>
    <b v="1"/>
    <x v="7"/>
    <x v="0"/>
    <x v="2"/>
  </r>
  <r>
    <n v="1000000562"/>
    <x v="562"/>
    <s v="Christina Perez"/>
    <s v="['Pancake Mix', 'Soda', 'Deodorant', 'Air Freshener', 'Tomatoes']"/>
    <n v="8"/>
    <n v="64.44"/>
    <x v="0"/>
    <x v="9"/>
    <x v="4"/>
    <b v="0"/>
    <x v="1"/>
    <x v="0"/>
    <x v="0"/>
  </r>
  <r>
    <n v="1000000563"/>
    <x v="563"/>
    <s v="Mark Morales"/>
    <s v="['Feminine Hygiene Products', 'Cleaning Spray']"/>
    <n v="1"/>
    <n v="45.68"/>
    <x v="2"/>
    <x v="4"/>
    <x v="5"/>
    <b v="1"/>
    <x v="5"/>
    <x v="0"/>
    <x v="0"/>
  </r>
  <r>
    <n v="1000000564"/>
    <x v="564"/>
    <s v="Vickie Brooks"/>
    <s v="['Water', 'Ice Cream']"/>
    <n v="8"/>
    <n v="87.9"/>
    <x v="0"/>
    <x v="8"/>
    <x v="5"/>
    <b v="1"/>
    <x v="4"/>
    <x v="2"/>
    <x v="1"/>
  </r>
  <r>
    <n v="1000000565"/>
    <x v="565"/>
    <s v="David Montoya"/>
    <s v="['Chips', 'Ketchup', 'Carrots']"/>
    <n v="1"/>
    <n v="6.34"/>
    <x v="1"/>
    <x v="2"/>
    <x v="5"/>
    <b v="1"/>
    <x v="6"/>
    <x v="1"/>
    <x v="2"/>
  </r>
  <r>
    <n v="1000000566"/>
    <x v="566"/>
    <s v="Logan Adams"/>
    <s v="['Baby Wipes', 'Canned Soup']"/>
    <n v="7"/>
    <n v="21.05"/>
    <x v="0"/>
    <x v="7"/>
    <x v="1"/>
    <b v="1"/>
    <x v="4"/>
    <x v="3"/>
    <x v="2"/>
  </r>
  <r>
    <n v="1000000567"/>
    <x v="567"/>
    <s v="Nicole Jones"/>
    <s v="['Toothbrush', 'Toilet Paper', 'Cheese']"/>
    <n v="8"/>
    <n v="83.12"/>
    <x v="1"/>
    <x v="9"/>
    <x v="4"/>
    <b v="1"/>
    <x v="0"/>
    <x v="0"/>
    <x v="0"/>
  </r>
  <r>
    <n v="1000000568"/>
    <x v="568"/>
    <s v="Steven Robinson"/>
    <s v="['Plant Fertilizer', 'Pickles', 'Honey', 'Bread', 'Spinach']"/>
    <n v="5"/>
    <n v="40.92"/>
    <x v="1"/>
    <x v="8"/>
    <x v="0"/>
    <b v="1"/>
    <x v="7"/>
    <x v="1"/>
    <x v="2"/>
  </r>
  <r>
    <n v="1000000569"/>
    <x v="569"/>
    <s v="Maureen Pace"/>
    <s v="['Toilet Paper', 'Vacuum Cleaner', 'Coffee']"/>
    <n v="1"/>
    <n v="41.66"/>
    <x v="0"/>
    <x v="8"/>
    <x v="2"/>
    <b v="0"/>
    <x v="4"/>
    <x v="0"/>
    <x v="1"/>
  </r>
  <r>
    <n v="1000000570"/>
    <x v="570"/>
    <s v="Kristopher Cook"/>
    <s v="['Deodorant']"/>
    <n v="2"/>
    <n v="31.57"/>
    <x v="0"/>
    <x v="6"/>
    <x v="2"/>
    <b v="0"/>
    <x v="3"/>
    <x v="1"/>
    <x v="1"/>
  </r>
  <r>
    <n v="1000000571"/>
    <x v="571"/>
    <s v="Donald Harris"/>
    <s v="['Vacuum Cleaner', 'Beef', 'Garden Hose']"/>
    <n v="8"/>
    <n v="91.52"/>
    <x v="2"/>
    <x v="8"/>
    <x v="4"/>
    <b v="0"/>
    <x v="4"/>
    <x v="2"/>
    <x v="1"/>
  </r>
  <r>
    <n v="1000000572"/>
    <x v="572"/>
    <s v="Rachael Sanford"/>
    <s v="['Ironing Board', 'Rice', 'Chicken', 'Chicken']"/>
    <n v="10"/>
    <n v="33.71"/>
    <x v="2"/>
    <x v="3"/>
    <x v="0"/>
    <b v="0"/>
    <x v="7"/>
    <x v="3"/>
    <x v="1"/>
  </r>
  <r>
    <n v="1000000573"/>
    <x v="573"/>
    <s v="Jordan Spencer"/>
    <s v="['Chicken', 'Power Strips', 'Vinegar']"/>
    <n v="6"/>
    <n v="95.54"/>
    <x v="3"/>
    <x v="6"/>
    <x v="1"/>
    <b v="0"/>
    <x v="5"/>
    <x v="3"/>
    <x v="0"/>
  </r>
  <r>
    <n v="1000000574"/>
    <x v="574"/>
    <s v="Joseph Payne"/>
    <s v="['Salmon']"/>
    <n v="3"/>
    <n v="91.01"/>
    <x v="1"/>
    <x v="5"/>
    <x v="1"/>
    <b v="0"/>
    <x v="5"/>
    <x v="2"/>
    <x v="2"/>
  </r>
  <r>
    <n v="1000000575"/>
    <x v="575"/>
    <s v="Jeffrey May"/>
    <s v="['Mustard', 'Plant Fertilizer']"/>
    <n v="9"/>
    <n v="48.51"/>
    <x v="0"/>
    <x v="0"/>
    <x v="4"/>
    <b v="1"/>
    <x v="3"/>
    <x v="3"/>
    <x v="2"/>
  </r>
  <r>
    <n v="1000000576"/>
    <x v="576"/>
    <s v="Catherine Dalton"/>
    <s v="['Lawn Mower', 'Water', 'Trash Bags', 'Plant Fertilizer', 'Trash Cans']"/>
    <n v="10"/>
    <n v="22.51"/>
    <x v="2"/>
    <x v="4"/>
    <x v="5"/>
    <b v="1"/>
    <x v="5"/>
    <x v="1"/>
    <x v="2"/>
  </r>
  <r>
    <n v="1000000577"/>
    <x v="577"/>
    <s v="Christopher Smith"/>
    <s v="['Cereal Bars', 'Cleaning Spray', 'Toothpaste']"/>
    <n v="8"/>
    <n v="35.74"/>
    <x v="3"/>
    <x v="0"/>
    <x v="5"/>
    <b v="1"/>
    <x v="0"/>
    <x v="3"/>
    <x v="2"/>
  </r>
  <r>
    <n v="1000000578"/>
    <x v="578"/>
    <s v="Cheryl Griffin"/>
    <s v="['Insect Repellent', 'Cereal']"/>
    <n v="3"/>
    <n v="98.71"/>
    <x v="0"/>
    <x v="3"/>
    <x v="4"/>
    <b v="0"/>
    <x v="4"/>
    <x v="1"/>
    <x v="1"/>
  </r>
  <r>
    <n v="1000000579"/>
    <x v="579"/>
    <s v="Jerry Berg"/>
    <s v="['Hair Gel', 'Spinach', 'Garden Hose', 'Ketchup', 'Canned Soup']"/>
    <n v="6"/>
    <n v="90.07"/>
    <x v="2"/>
    <x v="1"/>
    <x v="4"/>
    <b v="0"/>
    <x v="0"/>
    <x v="1"/>
    <x v="2"/>
  </r>
  <r>
    <n v="1000000580"/>
    <x v="580"/>
    <s v="Anthony Cervantes"/>
    <s v="['Ketchup', 'Coffee', 'Milk', 'Coffee', 'Soda']"/>
    <n v="4"/>
    <n v="27.8"/>
    <x v="2"/>
    <x v="4"/>
    <x v="2"/>
    <b v="0"/>
    <x v="2"/>
    <x v="3"/>
    <x v="1"/>
  </r>
  <r>
    <n v="1000000581"/>
    <x v="581"/>
    <s v="Julia Ray"/>
    <s v="['Vinegar', 'Vinegar', 'Ironing Board']"/>
    <n v="3"/>
    <n v="7.9"/>
    <x v="3"/>
    <x v="6"/>
    <x v="3"/>
    <b v="1"/>
    <x v="7"/>
    <x v="3"/>
    <x v="2"/>
  </r>
  <r>
    <n v="1000000582"/>
    <x v="582"/>
    <s v="Ashley Benton"/>
    <s v="['Pancake Mix', 'Extension Cords']"/>
    <n v="8"/>
    <n v="63"/>
    <x v="3"/>
    <x v="0"/>
    <x v="2"/>
    <b v="1"/>
    <x v="5"/>
    <x v="3"/>
    <x v="2"/>
  </r>
  <r>
    <n v="1000000583"/>
    <x v="583"/>
    <s v="Jessica Lopez"/>
    <s v="['Garden Hose', 'Toothpaste', 'Vacuum Cleaner', 'Baby Wipes']"/>
    <n v="6"/>
    <n v="32.9"/>
    <x v="1"/>
    <x v="6"/>
    <x v="4"/>
    <b v="0"/>
    <x v="4"/>
    <x v="1"/>
    <x v="1"/>
  </r>
  <r>
    <n v="1000000584"/>
    <x v="584"/>
    <s v="Ruth Garcia"/>
    <s v="['Ironing Board', 'Mayonnaise', 'Garden Hose', 'BBQ Sauce']"/>
    <n v="10"/>
    <n v="20.77"/>
    <x v="1"/>
    <x v="2"/>
    <x v="3"/>
    <b v="1"/>
    <x v="1"/>
    <x v="0"/>
    <x v="0"/>
  </r>
  <r>
    <n v="1000000585"/>
    <x v="585"/>
    <s v="Jesse Floyd"/>
    <s v="['Hand Sanitizer', 'Shower Gel']"/>
    <n v="6"/>
    <n v="48.04"/>
    <x v="0"/>
    <x v="4"/>
    <x v="4"/>
    <b v="0"/>
    <x v="0"/>
    <x v="1"/>
    <x v="1"/>
  </r>
  <r>
    <n v="1000000586"/>
    <x v="586"/>
    <s v="Mary Perez"/>
    <s v="['Butter', 'Spinach']"/>
    <n v="10"/>
    <n v="5.14"/>
    <x v="2"/>
    <x v="9"/>
    <x v="3"/>
    <b v="0"/>
    <x v="4"/>
    <x v="0"/>
    <x v="0"/>
  </r>
  <r>
    <n v="1000000587"/>
    <x v="587"/>
    <s v="Douglas Gonzalez"/>
    <s v="['Vacuum Cleaner', 'Pickles', 'Chicken']"/>
    <n v="6"/>
    <n v="14.29"/>
    <x v="2"/>
    <x v="3"/>
    <x v="0"/>
    <b v="1"/>
    <x v="0"/>
    <x v="0"/>
    <x v="2"/>
  </r>
  <r>
    <n v="1000000588"/>
    <x v="588"/>
    <s v="Sherri Graves"/>
    <s v="['Tuna', 'Spinach', 'Cheese']"/>
    <n v="1"/>
    <n v="43.78"/>
    <x v="3"/>
    <x v="6"/>
    <x v="4"/>
    <b v="1"/>
    <x v="3"/>
    <x v="3"/>
    <x v="2"/>
  </r>
  <r>
    <n v="1000000589"/>
    <x v="589"/>
    <s v="David Marks"/>
    <s v="['Rice', 'Tomatoes', 'Shower Gel', 'Toothpaste']"/>
    <n v="9"/>
    <n v="5.09"/>
    <x v="2"/>
    <x v="2"/>
    <x v="5"/>
    <b v="1"/>
    <x v="2"/>
    <x v="2"/>
    <x v="2"/>
  </r>
  <r>
    <n v="1000000590"/>
    <x v="590"/>
    <s v="Kevin Boone"/>
    <s v="['Peanut Butter', 'Olive Oil', 'Paper Towels', 'Carrots', 'Vinegar']"/>
    <n v="6"/>
    <n v="13.4"/>
    <x v="3"/>
    <x v="6"/>
    <x v="2"/>
    <b v="1"/>
    <x v="3"/>
    <x v="2"/>
    <x v="0"/>
  </r>
  <r>
    <n v="1000000591"/>
    <x v="591"/>
    <s v="Melissa Freeman"/>
    <s v="['Hair Gel', 'Chicken', 'Cleaning Spray', 'Cleaning Spray', 'Light Bulbs']"/>
    <n v="6"/>
    <n v="79.040000000000006"/>
    <x v="3"/>
    <x v="8"/>
    <x v="2"/>
    <b v="0"/>
    <x v="0"/>
    <x v="1"/>
    <x v="0"/>
  </r>
  <r>
    <n v="1000000592"/>
    <x v="592"/>
    <s v="Jerry Garrett"/>
    <s v="['Spinach', 'Cereal']"/>
    <n v="4"/>
    <n v="46.58"/>
    <x v="3"/>
    <x v="8"/>
    <x v="3"/>
    <b v="1"/>
    <x v="2"/>
    <x v="0"/>
    <x v="0"/>
  </r>
  <r>
    <n v="1000000593"/>
    <x v="593"/>
    <s v="Kimberly Young"/>
    <s v="['Eggs', 'Iron', 'Peanut Butter']"/>
    <n v="9"/>
    <n v="72.150000000000006"/>
    <x v="1"/>
    <x v="1"/>
    <x v="1"/>
    <b v="0"/>
    <x v="2"/>
    <x v="1"/>
    <x v="2"/>
  </r>
  <r>
    <n v="1000000594"/>
    <x v="594"/>
    <s v="Jenna Robinson"/>
    <s v="['Power Strips']"/>
    <n v="5"/>
    <n v="87.86"/>
    <x v="1"/>
    <x v="1"/>
    <x v="2"/>
    <b v="1"/>
    <x v="5"/>
    <x v="0"/>
    <x v="2"/>
  </r>
  <r>
    <n v="1000000595"/>
    <x v="595"/>
    <s v="Craig Hall"/>
    <s v="['Extension Cords']"/>
    <n v="5"/>
    <n v="15.09"/>
    <x v="2"/>
    <x v="5"/>
    <x v="0"/>
    <b v="0"/>
    <x v="3"/>
    <x v="3"/>
    <x v="2"/>
  </r>
  <r>
    <n v="1000000596"/>
    <x v="596"/>
    <s v="Amanda Blevins"/>
    <s v="['Laundry Detergent', 'Shampoo', 'Peanut Butter', 'Broom', 'Chips']"/>
    <n v="2"/>
    <n v="54.27"/>
    <x v="0"/>
    <x v="3"/>
    <x v="1"/>
    <b v="1"/>
    <x v="6"/>
    <x v="1"/>
    <x v="1"/>
  </r>
  <r>
    <n v="1000000597"/>
    <x v="597"/>
    <s v="Sarah Aguirre"/>
    <s v="['Cereal Bars']"/>
    <n v="1"/>
    <n v="63.55"/>
    <x v="1"/>
    <x v="8"/>
    <x v="2"/>
    <b v="0"/>
    <x v="0"/>
    <x v="3"/>
    <x v="0"/>
  </r>
  <r>
    <n v="1000000598"/>
    <x v="598"/>
    <s v="Richard Randolph"/>
    <s v="['Cleaning Spray', 'BBQ Sauce', 'Toothbrush', 'Pickles', 'Milk']"/>
    <n v="8"/>
    <n v="50.89"/>
    <x v="1"/>
    <x v="7"/>
    <x v="2"/>
    <b v="1"/>
    <x v="2"/>
    <x v="1"/>
    <x v="1"/>
  </r>
  <r>
    <n v="1000000599"/>
    <x v="599"/>
    <s v="Luis Richmond"/>
    <s v="['Vinegar', 'Water']"/>
    <n v="3"/>
    <n v="60.65"/>
    <x v="2"/>
    <x v="4"/>
    <x v="2"/>
    <b v="0"/>
    <x v="0"/>
    <x v="1"/>
    <x v="1"/>
  </r>
  <r>
    <n v="1000000600"/>
    <x v="600"/>
    <s v="Kim Campbell"/>
    <s v="['Hand Sanitizer', 'Paper Towels', 'Toilet Paper', 'Shaving Cream']"/>
    <n v="10"/>
    <n v="49.19"/>
    <x v="1"/>
    <x v="8"/>
    <x v="1"/>
    <b v="0"/>
    <x v="3"/>
    <x v="3"/>
    <x v="1"/>
  </r>
  <r>
    <n v="1000000601"/>
    <x v="601"/>
    <s v="Jack Mitchell"/>
    <s v="['Coffee', 'Potatoes', 'Air Freshener']"/>
    <n v="1"/>
    <n v="66.45"/>
    <x v="3"/>
    <x v="8"/>
    <x v="3"/>
    <b v="1"/>
    <x v="5"/>
    <x v="3"/>
    <x v="2"/>
  </r>
  <r>
    <n v="1000000602"/>
    <x v="602"/>
    <s v="Jose Knight"/>
    <s v="['Tuna']"/>
    <n v="2"/>
    <n v="89.05"/>
    <x v="0"/>
    <x v="0"/>
    <x v="1"/>
    <b v="1"/>
    <x v="2"/>
    <x v="1"/>
    <x v="0"/>
  </r>
  <r>
    <n v="1000000603"/>
    <x v="603"/>
    <s v="Aaron Rasmussen"/>
    <s v="['Shampoo', 'Razors', 'Orange', 'Pancake Mix']"/>
    <n v="9"/>
    <n v="38.14"/>
    <x v="1"/>
    <x v="9"/>
    <x v="5"/>
    <b v="0"/>
    <x v="3"/>
    <x v="3"/>
    <x v="0"/>
  </r>
  <r>
    <n v="1000000604"/>
    <x v="604"/>
    <s v="Tracy Morris"/>
    <s v="['Pasta', 'Baby Wipes', 'Power Strips']"/>
    <n v="2"/>
    <n v="82.05"/>
    <x v="1"/>
    <x v="4"/>
    <x v="4"/>
    <b v="0"/>
    <x v="4"/>
    <x v="2"/>
    <x v="0"/>
  </r>
  <r>
    <n v="1000000605"/>
    <x v="605"/>
    <s v="Richard Conley"/>
    <s v="['Trash Bags']"/>
    <n v="4"/>
    <n v="62.64"/>
    <x v="3"/>
    <x v="8"/>
    <x v="4"/>
    <b v="1"/>
    <x v="5"/>
    <x v="3"/>
    <x v="0"/>
  </r>
  <r>
    <n v="1000000606"/>
    <x v="606"/>
    <s v="Michael Johnson"/>
    <s v="['Chips', 'Feminine Hygiene Products', 'Pancake Mix']"/>
    <n v="6"/>
    <n v="46.61"/>
    <x v="0"/>
    <x v="2"/>
    <x v="2"/>
    <b v="1"/>
    <x v="0"/>
    <x v="3"/>
    <x v="1"/>
  </r>
  <r>
    <n v="1000000607"/>
    <x v="607"/>
    <s v="Juan Graham"/>
    <s v="['Honey', 'Insect Repellent', 'Laundry Detergent']"/>
    <n v="10"/>
    <n v="75.84"/>
    <x v="0"/>
    <x v="5"/>
    <x v="4"/>
    <b v="0"/>
    <x v="6"/>
    <x v="0"/>
    <x v="2"/>
  </r>
  <r>
    <n v="1000000608"/>
    <x v="608"/>
    <s v="Timothy White"/>
    <s v="['Toothpaste']"/>
    <n v="3"/>
    <n v="49.5"/>
    <x v="0"/>
    <x v="0"/>
    <x v="3"/>
    <b v="1"/>
    <x v="6"/>
    <x v="2"/>
    <x v="1"/>
  </r>
  <r>
    <n v="1000000609"/>
    <x v="609"/>
    <s v="Martin Foster"/>
    <s v="['Cereal Bars']"/>
    <n v="8"/>
    <n v="84.41"/>
    <x v="2"/>
    <x v="7"/>
    <x v="5"/>
    <b v="1"/>
    <x v="1"/>
    <x v="2"/>
    <x v="2"/>
  </r>
  <r>
    <n v="1000000610"/>
    <x v="610"/>
    <s v="Benjamin Weaver"/>
    <s v="['Baby Wipes', 'Spinach', 'Plant Fertilizer', 'Ketchup', 'Soap']"/>
    <n v="1"/>
    <n v="22.7"/>
    <x v="3"/>
    <x v="5"/>
    <x v="4"/>
    <b v="1"/>
    <x v="7"/>
    <x v="2"/>
    <x v="1"/>
  </r>
  <r>
    <n v="1000000611"/>
    <x v="611"/>
    <s v="Christopher Cooper"/>
    <s v="['Toilet Paper']"/>
    <n v="7"/>
    <n v="21.3"/>
    <x v="3"/>
    <x v="1"/>
    <x v="0"/>
    <b v="1"/>
    <x v="1"/>
    <x v="3"/>
    <x v="0"/>
  </r>
  <r>
    <n v="1000000612"/>
    <x v="612"/>
    <s v="Christopher Baker"/>
    <s v="['Shower Gel', 'Ice Cream', 'Pickles']"/>
    <n v="4"/>
    <n v="51.77"/>
    <x v="3"/>
    <x v="3"/>
    <x v="3"/>
    <b v="1"/>
    <x v="0"/>
    <x v="2"/>
    <x v="1"/>
  </r>
  <r>
    <n v="1000000613"/>
    <x v="613"/>
    <s v="Kevin Reid"/>
    <s v="['Onions', 'Eggs']"/>
    <n v="8"/>
    <n v="59.88"/>
    <x v="3"/>
    <x v="7"/>
    <x v="3"/>
    <b v="0"/>
    <x v="6"/>
    <x v="0"/>
    <x v="0"/>
  </r>
  <r>
    <n v="1000000614"/>
    <x v="614"/>
    <s v="Fred Velez"/>
    <s v="['Ironing Board', 'Chicken', 'Water']"/>
    <n v="1"/>
    <n v="57.26"/>
    <x v="3"/>
    <x v="2"/>
    <x v="5"/>
    <b v="0"/>
    <x v="2"/>
    <x v="1"/>
    <x v="0"/>
  </r>
  <r>
    <n v="1000000615"/>
    <x v="615"/>
    <s v="Matthew Moran"/>
    <s v="['BBQ Sauce']"/>
    <n v="7"/>
    <n v="83.15"/>
    <x v="2"/>
    <x v="1"/>
    <x v="0"/>
    <b v="0"/>
    <x v="2"/>
    <x v="0"/>
    <x v="0"/>
  </r>
  <r>
    <n v="1000000616"/>
    <x v="616"/>
    <s v="Adam Rodriguez"/>
    <s v="['Milk', 'Shrimp']"/>
    <n v="10"/>
    <n v="7.05"/>
    <x v="2"/>
    <x v="9"/>
    <x v="3"/>
    <b v="0"/>
    <x v="0"/>
    <x v="3"/>
    <x v="2"/>
  </r>
  <r>
    <n v="1000000617"/>
    <x v="617"/>
    <s v="Christian Hale"/>
    <s v="['Pancake Mix', 'Laundry Detergent', 'Tomatoes']"/>
    <n v="1"/>
    <n v="43.33"/>
    <x v="3"/>
    <x v="1"/>
    <x v="4"/>
    <b v="1"/>
    <x v="0"/>
    <x v="2"/>
    <x v="1"/>
  </r>
  <r>
    <n v="1000000618"/>
    <x v="618"/>
    <s v="Jessica Carr"/>
    <s v="['Dustpan', 'Butter']"/>
    <n v="6"/>
    <n v="40.94"/>
    <x v="0"/>
    <x v="5"/>
    <x v="3"/>
    <b v="0"/>
    <x v="4"/>
    <x v="2"/>
    <x v="1"/>
  </r>
  <r>
    <n v="1000000619"/>
    <x v="619"/>
    <s v="Angela Navarro"/>
    <s v="['Carrots', 'Toothbrush', 'Toothpaste']"/>
    <n v="5"/>
    <n v="78.06"/>
    <x v="3"/>
    <x v="8"/>
    <x v="0"/>
    <b v="0"/>
    <x v="4"/>
    <x v="0"/>
    <x v="2"/>
  </r>
  <r>
    <n v="1000000620"/>
    <x v="620"/>
    <s v="Kiara Guerrero"/>
    <s v="['Chips', 'Yogurt']"/>
    <n v="10"/>
    <n v="68.709999999999994"/>
    <x v="1"/>
    <x v="4"/>
    <x v="3"/>
    <b v="0"/>
    <x v="5"/>
    <x v="0"/>
    <x v="0"/>
  </r>
  <r>
    <n v="1000000621"/>
    <x v="621"/>
    <s v="Lori Ramirez"/>
    <s v="['Soap']"/>
    <n v="3"/>
    <n v="92.17"/>
    <x v="1"/>
    <x v="0"/>
    <x v="0"/>
    <b v="0"/>
    <x v="3"/>
    <x v="3"/>
    <x v="2"/>
  </r>
  <r>
    <n v="1000000622"/>
    <x v="622"/>
    <s v="Valerie Perry"/>
    <s v="['Vinegar', 'Mop', 'Shrimp']"/>
    <n v="6"/>
    <n v="54.26"/>
    <x v="1"/>
    <x v="6"/>
    <x v="3"/>
    <b v="1"/>
    <x v="4"/>
    <x v="2"/>
    <x v="1"/>
  </r>
  <r>
    <n v="1000000623"/>
    <x v="623"/>
    <s v="Kelsey Moore"/>
    <s v="['Milk', 'Lawn Mower', 'Water', 'Mustard']"/>
    <n v="6"/>
    <n v="54.7"/>
    <x v="0"/>
    <x v="6"/>
    <x v="1"/>
    <b v="0"/>
    <x v="5"/>
    <x v="0"/>
    <x v="0"/>
  </r>
  <r>
    <n v="1000000624"/>
    <x v="624"/>
    <s v="Travis Parker"/>
    <s v="['Mop', 'Cleaning Spray', 'Onions', 'Dishware', 'Diapers']"/>
    <n v="8"/>
    <n v="93.17"/>
    <x v="3"/>
    <x v="1"/>
    <x v="0"/>
    <b v="0"/>
    <x v="5"/>
    <x v="3"/>
    <x v="0"/>
  </r>
  <r>
    <n v="1000000625"/>
    <x v="625"/>
    <s v="Christopher Horton"/>
    <s v="['Honey', 'Toothbrush', 'Dish Soap', 'Jam', 'Shower Gel']"/>
    <n v="5"/>
    <n v="96.43"/>
    <x v="0"/>
    <x v="3"/>
    <x v="1"/>
    <b v="0"/>
    <x v="7"/>
    <x v="3"/>
    <x v="2"/>
  </r>
  <r>
    <n v="1000000626"/>
    <x v="626"/>
    <s v="Jason Brown"/>
    <s v="['Canned Soup', 'Vinegar', 'Dustpan', 'Bath Towels']"/>
    <n v="7"/>
    <n v="61.26"/>
    <x v="1"/>
    <x v="0"/>
    <x v="3"/>
    <b v="1"/>
    <x v="6"/>
    <x v="3"/>
    <x v="1"/>
  </r>
  <r>
    <n v="1000000627"/>
    <x v="627"/>
    <s v="Courtney Sexton"/>
    <s v="['BBQ Sauce', 'Light Bulbs', 'Toothpaste', 'Syrup', 'Laundry Detergent']"/>
    <n v="8"/>
    <n v="31.48"/>
    <x v="2"/>
    <x v="9"/>
    <x v="2"/>
    <b v="0"/>
    <x v="5"/>
    <x v="2"/>
    <x v="1"/>
  </r>
  <r>
    <n v="1000000628"/>
    <x v="628"/>
    <s v="Randy Valencia"/>
    <s v="['Feminine Hygiene Products', 'Toothbrush', 'Apple', 'Canned Soup', 'Cereal Bars']"/>
    <n v="1"/>
    <n v="33.78"/>
    <x v="2"/>
    <x v="6"/>
    <x v="5"/>
    <b v="0"/>
    <x v="6"/>
    <x v="2"/>
    <x v="2"/>
  </r>
  <r>
    <n v="1000000629"/>
    <x v="629"/>
    <s v="Beverly Robinson"/>
    <s v="['Hair Gel', 'Shower Gel', 'Hair Gel']"/>
    <n v="2"/>
    <n v="49.98"/>
    <x v="1"/>
    <x v="1"/>
    <x v="4"/>
    <b v="1"/>
    <x v="3"/>
    <x v="1"/>
    <x v="2"/>
  </r>
  <r>
    <n v="1000000630"/>
    <x v="630"/>
    <s v="Linda Thornton"/>
    <s v="['Tissues', 'Cheese', 'Hand Sanitizer', 'BBQ Sauce']"/>
    <n v="4"/>
    <n v="56.23"/>
    <x v="1"/>
    <x v="1"/>
    <x v="5"/>
    <b v="0"/>
    <x v="0"/>
    <x v="2"/>
    <x v="2"/>
  </r>
  <r>
    <n v="1000000631"/>
    <x v="631"/>
    <s v="Scott Beck"/>
    <s v="['Tea', 'Beef', 'Spinach', 'Vacuum Cleaner']"/>
    <n v="5"/>
    <n v="15.4"/>
    <x v="0"/>
    <x v="8"/>
    <x v="3"/>
    <b v="0"/>
    <x v="2"/>
    <x v="1"/>
    <x v="2"/>
  </r>
  <r>
    <n v="1000000632"/>
    <x v="632"/>
    <s v="David Schmidt"/>
    <s v="['Iron', 'Cleaning Rags', 'Chicken', 'Air Freshener', 'Vinegar']"/>
    <n v="2"/>
    <n v="22.6"/>
    <x v="1"/>
    <x v="1"/>
    <x v="1"/>
    <b v="1"/>
    <x v="0"/>
    <x v="1"/>
    <x v="2"/>
  </r>
  <r>
    <n v="1000000633"/>
    <x v="633"/>
    <s v="James Mcdaniel"/>
    <s v="['Eggs']"/>
    <n v="8"/>
    <n v="94.4"/>
    <x v="1"/>
    <x v="2"/>
    <x v="5"/>
    <b v="0"/>
    <x v="5"/>
    <x v="1"/>
    <x v="2"/>
  </r>
  <r>
    <n v="1000000634"/>
    <x v="634"/>
    <s v="Travis Bates"/>
    <s v="['Plant Fertilizer', 'Baby Wipes']"/>
    <n v="5"/>
    <n v="11.45"/>
    <x v="0"/>
    <x v="6"/>
    <x v="5"/>
    <b v="0"/>
    <x v="3"/>
    <x v="2"/>
    <x v="2"/>
  </r>
  <r>
    <n v="1000000635"/>
    <x v="635"/>
    <s v="Patrick Lewis"/>
    <s v="['Shower Gel', 'Rice']"/>
    <n v="5"/>
    <n v="45.66"/>
    <x v="0"/>
    <x v="8"/>
    <x v="1"/>
    <b v="1"/>
    <x v="1"/>
    <x v="3"/>
    <x v="0"/>
  </r>
  <r>
    <n v="1000000636"/>
    <x v="636"/>
    <s v="Michael Schaefer"/>
    <s v="['Apple', 'Potatoes', 'Baby Wipes']"/>
    <n v="6"/>
    <n v="82.41"/>
    <x v="2"/>
    <x v="2"/>
    <x v="1"/>
    <b v="1"/>
    <x v="7"/>
    <x v="2"/>
    <x v="0"/>
  </r>
  <r>
    <n v="1000000637"/>
    <x v="637"/>
    <s v="Christopher Taylor"/>
    <s v="['Dishware', 'Bread', 'Toothbrush']"/>
    <n v="4"/>
    <n v="53.33"/>
    <x v="2"/>
    <x v="1"/>
    <x v="4"/>
    <b v="1"/>
    <x v="2"/>
    <x v="2"/>
    <x v="2"/>
  </r>
  <r>
    <n v="1000000638"/>
    <x v="638"/>
    <s v="Guy Chan"/>
    <s v="['Toothbrush', 'Water']"/>
    <n v="4"/>
    <n v="82.22"/>
    <x v="0"/>
    <x v="1"/>
    <x v="2"/>
    <b v="0"/>
    <x v="7"/>
    <x v="1"/>
    <x v="1"/>
  </r>
  <r>
    <n v="1000000639"/>
    <x v="639"/>
    <s v="Ryan Bishop"/>
    <s v="['Sponges', 'Rice']"/>
    <n v="2"/>
    <n v="48.63"/>
    <x v="2"/>
    <x v="6"/>
    <x v="1"/>
    <b v="1"/>
    <x v="7"/>
    <x v="3"/>
    <x v="0"/>
  </r>
  <r>
    <n v="1000000640"/>
    <x v="640"/>
    <s v="Andrew Baker"/>
    <s v="['Dish Soap', 'Salmon']"/>
    <n v="5"/>
    <n v="48.12"/>
    <x v="3"/>
    <x v="1"/>
    <x v="4"/>
    <b v="0"/>
    <x v="5"/>
    <x v="0"/>
    <x v="0"/>
  </r>
  <r>
    <n v="1000000641"/>
    <x v="641"/>
    <s v="Jared Norton"/>
    <s v="['Ketchup']"/>
    <n v="6"/>
    <n v="82.12"/>
    <x v="3"/>
    <x v="7"/>
    <x v="4"/>
    <b v="1"/>
    <x v="5"/>
    <x v="0"/>
    <x v="0"/>
  </r>
  <r>
    <n v="1000000642"/>
    <x v="642"/>
    <s v="Molly Wilson"/>
    <s v="['Toothpaste']"/>
    <n v="7"/>
    <n v="94.76"/>
    <x v="2"/>
    <x v="2"/>
    <x v="0"/>
    <b v="0"/>
    <x v="1"/>
    <x v="1"/>
    <x v="1"/>
  </r>
  <r>
    <n v="1000000643"/>
    <x v="643"/>
    <s v="Lindsay Rogers"/>
    <s v="['Cereal', 'Water', 'Chicken', 'Dustpan']"/>
    <n v="6"/>
    <n v="39.86"/>
    <x v="3"/>
    <x v="5"/>
    <x v="3"/>
    <b v="0"/>
    <x v="1"/>
    <x v="2"/>
    <x v="1"/>
  </r>
  <r>
    <n v="1000000644"/>
    <x v="644"/>
    <s v="Rita Williams"/>
    <s v="['Pickles', 'Syrup', 'Hand Sanitizer', 'Hair Gel', 'Broom']"/>
    <n v="9"/>
    <n v="30.02"/>
    <x v="1"/>
    <x v="8"/>
    <x v="5"/>
    <b v="1"/>
    <x v="5"/>
    <x v="3"/>
    <x v="2"/>
  </r>
  <r>
    <n v="1000000645"/>
    <x v="645"/>
    <s v="Bobby French"/>
    <s v="['Coffee', 'Shampoo', 'Pickles', 'Salmon']"/>
    <n v="10"/>
    <n v="75.7"/>
    <x v="0"/>
    <x v="9"/>
    <x v="3"/>
    <b v="0"/>
    <x v="2"/>
    <x v="2"/>
    <x v="0"/>
  </r>
  <r>
    <n v="1000000646"/>
    <x v="646"/>
    <s v="Elizabeth Ortega"/>
    <s v="['Sponges', 'Cereal Bars', 'Olive Oil', 'Orange']"/>
    <n v="2"/>
    <n v="56.86"/>
    <x v="3"/>
    <x v="3"/>
    <x v="3"/>
    <b v="1"/>
    <x v="6"/>
    <x v="0"/>
    <x v="2"/>
  </r>
  <r>
    <n v="1000000647"/>
    <x v="647"/>
    <s v="Dr. Christina Kelly"/>
    <s v="['Plant Fertilizer', 'Vacuum Cleaner', 'Chips', 'Hand Sanitizer', 'Soap']"/>
    <n v="7"/>
    <n v="23.36"/>
    <x v="3"/>
    <x v="4"/>
    <x v="1"/>
    <b v="0"/>
    <x v="0"/>
    <x v="2"/>
    <x v="0"/>
  </r>
  <r>
    <n v="1000000648"/>
    <x v="648"/>
    <s v="Cynthia Fuentes"/>
    <s v="['Toothbrush']"/>
    <n v="6"/>
    <n v="40.49"/>
    <x v="0"/>
    <x v="8"/>
    <x v="5"/>
    <b v="1"/>
    <x v="2"/>
    <x v="1"/>
    <x v="2"/>
  </r>
  <r>
    <n v="1000000649"/>
    <x v="649"/>
    <s v="Christopher Fowler"/>
    <s v="['Cheese', 'Spinach', 'Pancake Mix', 'Olive Oil', 'Peanut Butter']"/>
    <n v="1"/>
    <n v="67.08"/>
    <x v="2"/>
    <x v="3"/>
    <x v="3"/>
    <b v="0"/>
    <x v="7"/>
    <x v="0"/>
    <x v="1"/>
  </r>
  <r>
    <n v="1000000650"/>
    <x v="650"/>
    <s v="Toni Goodwin"/>
    <s v="['Spinach', 'Light Bulbs', 'Plant Fertilizer', 'Vacuum Cleaner', 'Laundry Detergent']"/>
    <n v="4"/>
    <n v="56.5"/>
    <x v="1"/>
    <x v="4"/>
    <x v="4"/>
    <b v="0"/>
    <x v="1"/>
    <x v="1"/>
    <x v="0"/>
  </r>
  <r>
    <n v="1000000651"/>
    <x v="651"/>
    <s v="Katelyn Watts"/>
    <s v="['Bread', 'Water']"/>
    <n v="6"/>
    <n v="93.85"/>
    <x v="1"/>
    <x v="3"/>
    <x v="5"/>
    <b v="1"/>
    <x v="7"/>
    <x v="3"/>
    <x v="1"/>
  </r>
  <r>
    <n v="1000000652"/>
    <x v="652"/>
    <s v="Daniel Stevens"/>
    <s v="['Trash Cans', 'Trash Bags', 'Coffee']"/>
    <n v="6"/>
    <n v="58.27"/>
    <x v="3"/>
    <x v="6"/>
    <x v="4"/>
    <b v="0"/>
    <x v="0"/>
    <x v="2"/>
    <x v="2"/>
  </r>
  <r>
    <n v="1000000653"/>
    <x v="653"/>
    <s v="Steven Calhoun"/>
    <s v="['Mayonnaise', 'Coffee']"/>
    <n v="4"/>
    <n v="5.74"/>
    <x v="0"/>
    <x v="0"/>
    <x v="2"/>
    <b v="1"/>
    <x v="2"/>
    <x v="2"/>
    <x v="0"/>
  </r>
  <r>
    <n v="1000000654"/>
    <x v="654"/>
    <s v="Jeffrey Alexander"/>
    <s v="['Ketchup', 'Pickles', 'Broom', 'Syrup', 'Toothpaste']"/>
    <n v="3"/>
    <n v="50.34"/>
    <x v="2"/>
    <x v="4"/>
    <x v="5"/>
    <b v="0"/>
    <x v="0"/>
    <x v="3"/>
    <x v="0"/>
  </r>
  <r>
    <n v="1000000655"/>
    <x v="655"/>
    <s v="Paul Gonzalez"/>
    <s v="['Vacuum Cleaner', 'Baby Wipes', 'Banana', 'Iron']"/>
    <n v="10"/>
    <n v="9.31"/>
    <x v="0"/>
    <x v="3"/>
    <x v="4"/>
    <b v="1"/>
    <x v="6"/>
    <x v="3"/>
    <x v="0"/>
  </r>
  <r>
    <n v="1000000656"/>
    <x v="656"/>
    <s v="James Lloyd"/>
    <s v="['Laundry Detergent']"/>
    <n v="8"/>
    <n v="48.52"/>
    <x v="2"/>
    <x v="9"/>
    <x v="2"/>
    <b v="0"/>
    <x v="3"/>
    <x v="0"/>
    <x v="2"/>
  </r>
  <r>
    <n v="1000000657"/>
    <x v="657"/>
    <s v="Melanie Smith"/>
    <s v="['BBQ Sauce', 'Feminine Hygiene Products', 'Paper Towels', 'Dish Soap', 'Sponges']"/>
    <n v="5"/>
    <n v="96.69"/>
    <x v="0"/>
    <x v="8"/>
    <x v="0"/>
    <b v="1"/>
    <x v="7"/>
    <x v="2"/>
    <x v="0"/>
  </r>
  <r>
    <n v="1000000658"/>
    <x v="658"/>
    <s v="Charlotte Johnson"/>
    <s v="['Bath Towels']"/>
    <n v="10"/>
    <n v="53.44"/>
    <x v="1"/>
    <x v="5"/>
    <x v="4"/>
    <b v="1"/>
    <x v="4"/>
    <x v="2"/>
    <x v="1"/>
  </r>
  <r>
    <n v="1000000659"/>
    <x v="659"/>
    <s v="Heather Shannon"/>
    <s v="['Olive Oil', 'Cereal', 'Bath Towels', 'Jam', 'Pasta']"/>
    <n v="3"/>
    <n v="53.19"/>
    <x v="3"/>
    <x v="9"/>
    <x v="5"/>
    <b v="0"/>
    <x v="4"/>
    <x v="1"/>
    <x v="0"/>
  </r>
  <r>
    <n v="1000000660"/>
    <x v="660"/>
    <s v="Angela Anderson"/>
    <s v="['Chips']"/>
    <n v="7"/>
    <n v="21"/>
    <x v="0"/>
    <x v="2"/>
    <x v="2"/>
    <b v="0"/>
    <x v="3"/>
    <x v="0"/>
    <x v="0"/>
  </r>
  <r>
    <n v="1000000661"/>
    <x v="661"/>
    <s v="Frank Jackson"/>
    <s v="['Vinegar', 'Broom', 'Hand Sanitizer']"/>
    <n v="7"/>
    <n v="59.88"/>
    <x v="2"/>
    <x v="7"/>
    <x v="4"/>
    <b v="1"/>
    <x v="3"/>
    <x v="0"/>
    <x v="2"/>
  </r>
  <r>
    <n v="1000000662"/>
    <x v="662"/>
    <s v="Lindsay Wells"/>
    <s v="['Paper Towels']"/>
    <n v="4"/>
    <n v="29.49"/>
    <x v="0"/>
    <x v="7"/>
    <x v="3"/>
    <b v="1"/>
    <x v="2"/>
    <x v="3"/>
    <x v="2"/>
  </r>
  <r>
    <n v="1000000663"/>
    <x v="663"/>
    <s v="Andrew Key"/>
    <s v="['Toothpaste']"/>
    <n v="6"/>
    <n v="13.04"/>
    <x v="0"/>
    <x v="8"/>
    <x v="5"/>
    <b v="1"/>
    <x v="5"/>
    <x v="2"/>
    <x v="0"/>
  </r>
  <r>
    <n v="1000000664"/>
    <x v="664"/>
    <s v="Joseph Newton"/>
    <s v="['Sponges', 'Chips']"/>
    <n v="4"/>
    <n v="27.72"/>
    <x v="0"/>
    <x v="0"/>
    <x v="5"/>
    <b v="0"/>
    <x v="1"/>
    <x v="0"/>
    <x v="1"/>
  </r>
  <r>
    <n v="1000000665"/>
    <x v="665"/>
    <s v="Megan Bowers"/>
    <s v="['Sponges']"/>
    <n v="2"/>
    <n v="23.39"/>
    <x v="0"/>
    <x v="7"/>
    <x v="1"/>
    <b v="0"/>
    <x v="6"/>
    <x v="0"/>
    <x v="0"/>
  </r>
  <r>
    <n v="1000000666"/>
    <x v="666"/>
    <s v="Ricky Powers"/>
    <s v="['Dishware']"/>
    <n v="6"/>
    <n v="92.66"/>
    <x v="3"/>
    <x v="9"/>
    <x v="3"/>
    <b v="1"/>
    <x v="1"/>
    <x v="3"/>
    <x v="0"/>
  </r>
  <r>
    <n v="1000000667"/>
    <x v="667"/>
    <s v="Michael Murphy"/>
    <s v="['Deodorant']"/>
    <n v="8"/>
    <n v="70.760000000000005"/>
    <x v="3"/>
    <x v="9"/>
    <x v="0"/>
    <b v="0"/>
    <x v="0"/>
    <x v="3"/>
    <x v="1"/>
  </r>
  <r>
    <n v="1000000668"/>
    <x v="668"/>
    <s v="Meghan Nelson"/>
    <s v="['Baby Wipes', 'Cleaning Rags', 'Carrots', 'Salmon', 'Power Strips']"/>
    <n v="7"/>
    <n v="99.93"/>
    <x v="2"/>
    <x v="2"/>
    <x v="4"/>
    <b v="0"/>
    <x v="1"/>
    <x v="0"/>
    <x v="2"/>
  </r>
  <r>
    <n v="1000000669"/>
    <x v="669"/>
    <s v="William Turner"/>
    <s v="['Toothbrush', 'Sponges']"/>
    <n v="2"/>
    <n v="93.68"/>
    <x v="3"/>
    <x v="0"/>
    <x v="2"/>
    <b v="1"/>
    <x v="0"/>
    <x v="3"/>
    <x v="2"/>
  </r>
  <r>
    <n v="1000000670"/>
    <x v="670"/>
    <s v="Christopher Sutton"/>
    <s v="['Power Strips', 'Cereal', 'Pickles', 'Potatoes']"/>
    <n v="7"/>
    <n v="19.13"/>
    <x v="2"/>
    <x v="1"/>
    <x v="1"/>
    <b v="0"/>
    <x v="5"/>
    <x v="2"/>
    <x v="2"/>
  </r>
  <r>
    <n v="1000000671"/>
    <x v="671"/>
    <s v="Steve Collins"/>
    <s v="['Toothpaste', 'Light Bulbs']"/>
    <n v="3"/>
    <n v="92.95"/>
    <x v="0"/>
    <x v="0"/>
    <x v="2"/>
    <b v="0"/>
    <x v="5"/>
    <x v="0"/>
    <x v="1"/>
  </r>
  <r>
    <n v="1000000672"/>
    <x v="672"/>
    <s v="George Butler"/>
    <s v="['Onions', 'Deodorant']"/>
    <n v="8"/>
    <n v="45.71"/>
    <x v="0"/>
    <x v="1"/>
    <x v="0"/>
    <b v="1"/>
    <x v="1"/>
    <x v="1"/>
    <x v="0"/>
  </r>
  <r>
    <n v="1000000673"/>
    <x v="673"/>
    <s v="Brittney Quinn"/>
    <s v="['Honey', 'Razors']"/>
    <n v="3"/>
    <n v="61.15"/>
    <x v="1"/>
    <x v="1"/>
    <x v="3"/>
    <b v="1"/>
    <x v="2"/>
    <x v="3"/>
    <x v="2"/>
  </r>
  <r>
    <n v="1000000674"/>
    <x v="674"/>
    <s v="Margaret Swanson"/>
    <s v="['BBQ Sauce', 'Toothpaste', 'Extension Cords']"/>
    <n v="3"/>
    <n v="28.4"/>
    <x v="2"/>
    <x v="3"/>
    <x v="4"/>
    <b v="1"/>
    <x v="2"/>
    <x v="2"/>
    <x v="1"/>
  </r>
  <r>
    <n v="1000000675"/>
    <x v="675"/>
    <s v="Mrs. Vanessa Williams MD"/>
    <s v="['Cleaning Rags', 'Rice', 'Chicken']"/>
    <n v="7"/>
    <n v="51.42"/>
    <x v="3"/>
    <x v="6"/>
    <x v="4"/>
    <b v="0"/>
    <x v="3"/>
    <x v="2"/>
    <x v="0"/>
  </r>
  <r>
    <n v="1000000676"/>
    <x v="676"/>
    <s v="Michelle Cole"/>
    <s v="['Air Freshener', 'Cleaning Rags', 'Olive Oil', 'Apple', 'Paper Towels']"/>
    <n v="7"/>
    <n v="36.79"/>
    <x v="2"/>
    <x v="9"/>
    <x v="1"/>
    <b v="0"/>
    <x v="1"/>
    <x v="1"/>
    <x v="2"/>
  </r>
  <r>
    <n v="1000000677"/>
    <x v="677"/>
    <s v="Nicholas Hunter"/>
    <s v="['Paper Towels', 'Cereal', 'Yogurt']"/>
    <n v="3"/>
    <n v="69.099999999999994"/>
    <x v="0"/>
    <x v="4"/>
    <x v="4"/>
    <b v="1"/>
    <x v="7"/>
    <x v="1"/>
    <x v="2"/>
  </r>
  <r>
    <n v="1000000678"/>
    <x v="678"/>
    <s v="Rebecca Humphrey"/>
    <s v="['Potatoes', 'Mop', 'Hair Gel', 'Trash Bags', 'Toothpaste']"/>
    <n v="1"/>
    <n v="50.42"/>
    <x v="1"/>
    <x v="4"/>
    <x v="5"/>
    <b v="0"/>
    <x v="5"/>
    <x v="0"/>
    <x v="0"/>
  </r>
  <r>
    <n v="1000000679"/>
    <x v="679"/>
    <s v="Tammy Fleming"/>
    <s v="['Honey', 'Cereal Bars']"/>
    <n v="5"/>
    <n v="24.64"/>
    <x v="2"/>
    <x v="5"/>
    <x v="2"/>
    <b v="1"/>
    <x v="7"/>
    <x v="2"/>
    <x v="1"/>
  </r>
  <r>
    <n v="1000000680"/>
    <x v="680"/>
    <s v="Matthew Baker"/>
    <s v="['Orange', 'Peanut Butter']"/>
    <n v="3"/>
    <n v="99.4"/>
    <x v="3"/>
    <x v="5"/>
    <x v="4"/>
    <b v="1"/>
    <x v="4"/>
    <x v="1"/>
    <x v="2"/>
  </r>
  <r>
    <n v="1000000681"/>
    <x v="681"/>
    <s v="Diana Kelly"/>
    <s v="['Insect Repellent', 'Potatoes']"/>
    <n v="7"/>
    <n v="18.37"/>
    <x v="3"/>
    <x v="3"/>
    <x v="3"/>
    <b v="1"/>
    <x v="7"/>
    <x v="3"/>
    <x v="1"/>
  </r>
  <r>
    <n v="1000000682"/>
    <x v="682"/>
    <s v="Eric Jones"/>
    <s v="['Water', 'Carrots', 'Sponges']"/>
    <n v="7"/>
    <n v="53.34"/>
    <x v="0"/>
    <x v="9"/>
    <x v="1"/>
    <b v="1"/>
    <x v="6"/>
    <x v="0"/>
    <x v="1"/>
  </r>
  <r>
    <n v="1000000683"/>
    <x v="683"/>
    <s v="Martin Dixon"/>
    <s v="['Deodorant']"/>
    <n v="5"/>
    <n v="71.13"/>
    <x v="0"/>
    <x v="1"/>
    <x v="5"/>
    <b v="1"/>
    <x v="5"/>
    <x v="1"/>
    <x v="0"/>
  </r>
  <r>
    <n v="1000000684"/>
    <x v="684"/>
    <s v="Thomas Livingston"/>
    <s v="['Plant Fertilizer', 'Light Bulbs']"/>
    <n v="3"/>
    <n v="42.28"/>
    <x v="1"/>
    <x v="8"/>
    <x v="5"/>
    <b v="1"/>
    <x v="4"/>
    <x v="2"/>
    <x v="1"/>
  </r>
  <r>
    <n v="1000000685"/>
    <x v="685"/>
    <s v="Harold Thomas"/>
    <s v="['Syrup', 'Ketchup', 'Carrots']"/>
    <n v="10"/>
    <n v="75.349999999999994"/>
    <x v="2"/>
    <x v="2"/>
    <x v="0"/>
    <b v="0"/>
    <x v="3"/>
    <x v="3"/>
    <x v="1"/>
  </r>
  <r>
    <n v="1000000686"/>
    <x v="686"/>
    <s v="Dr. Amy Wagner"/>
    <s v="['Paper Towels', 'Water', 'Deodorant', 'Toothbrush', 'Eggs']"/>
    <n v="1"/>
    <n v="43.31"/>
    <x v="1"/>
    <x v="7"/>
    <x v="3"/>
    <b v="0"/>
    <x v="3"/>
    <x v="2"/>
    <x v="1"/>
  </r>
  <r>
    <n v="1000000687"/>
    <x v="687"/>
    <s v="Wendy Carr"/>
    <s v="['Ironing Board', 'Banana']"/>
    <n v="5"/>
    <n v="92.32"/>
    <x v="1"/>
    <x v="1"/>
    <x v="3"/>
    <b v="1"/>
    <x v="2"/>
    <x v="0"/>
    <x v="1"/>
  </r>
  <r>
    <n v="1000000688"/>
    <x v="688"/>
    <s v="Lisa Washington"/>
    <s v="['Mop', 'Shampoo', 'Plant Fertilizer', 'Cleaning Spray']"/>
    <n v="7"/>
    <n v="62.03"/>
    <x v="1"/>
    <x v="4"/>
    <x v="0"/>
    <b v="1"/>
    <x v="4"/>
    <x v="0"/>
    <x v="1"/>
  </r>
  <r>
    <n v="1000000689"/>
    <x v="689"/>
    <s v="Melissa Crawford"/>
    <s v="['Dishware', 'Olive Oil', 'Baby Wipes', 'Ice Cream']"/>
    <n v="4"/>
    <n v="69.75"/>
    <x v="0"/>
    <x v="8"/>
    <x v="1"/>
    <b v="1"/>
    <x v="6"/>
    <x v="0"/>
    <x v="2"/>
  </r>
  <r>
    <n v="1000000690"/>
    <x v="690"/>
    <s v="Victoria Brown"/>
    <s v="['Soap', 'Toilet Paper', 'Peanut Butter', 'Vinegar', 'Trash Cans']"/>
    <n v="2"/>
    <n v="56.31"/>
    <x v="0"/>
    <x v="3"/>
    <x v="5"/>
    <b v="0"/>
    <x v="6"/>
    <x v="0"/>
    <x v="2"/>
  </r>
  <r>
    <n v="1000000691"/>
    <x v="691"/>
    <s v="Mr. Charles Ward"/>
    <s v="['Carrots']"/>
    <n v="5"/>
    <n v="74.33"/>
    <x v="2"/>
    <x v="3"/>
    <x v="0"/>
    <b v="1"/>
    <x v="5"/>
    <x v="2"/>
    <x v="0"/>
  </r>
  <r>
    <n v="1000000692"/>
    <x v="692"/>
    <s v="Terry Villegas"/>
    <s v="['Dishware', 'Vinegar', 'Insect Repellent', 'Pancake Mix', 'Razors']"/>
    <n v="7"/>
    <n v="14.67"/>
    <x v="3"/>
    <x v="0"/>
    <x v="2"/>
    <b v="1"/>
    <x v="6"/>
    <x v="2"/>
    <x v="2"/>
  </r>
  <r>
    <n v="1000000693"/>
    <x v="693"/>
    <s v="Dr. Sherry Mcgrath MD"/>
    <s v="['Hand Sanitizer']"/>
    <n v="10"/>
    <n v="33.32"/>
    <x v="3"/>
    <x v="8"/>
    <x v="4"/>
    <b v="1"/>
    <x v="2"/>
    <x v="2"/>
    <x v="2"/>
  </r>
  <r>
    <n v="1000000694"/>
    <x v="694"/>
    <s v="Mr. Nathan Jones MD"/>
    <s v="['Toothpaste', 'Honey']"/>
    <n v="5"/>
    <n v="19.36"/>
    <x v="2"/>
    <x v="7"/>
    <x v="5"/>
    <b v="1"/>
    <x v="2"/>
    <x v="2"/>
    <x v="1"/>
  </r>
  <r>
    <n v="1000000695"/>
    <x v="695"/>
    <s v="Marcus Beck"/>
    <s v="['Rice', 'Pancake Mix', 'Apple']"/>
    <n v="1"/>
    <n v="61.12"/>
    <x v="1"/>
    <x v="8"/>
    <x v="2"/>
    <b v="1"/>
    <x v="3"/>
    <x v="2"/>
    <x v="2"/>
  </r>
  <r>
    <n v="1000000696"/>
    <x v="696"/>
    <s v="Holly White"/>
    <s v="['Pancake Mix']"/>
    <n v="9"/>
    <n v="39.880000000000003"/>
    <x v="2"/>
    <x v="7"/>
    <x v="2"/>
    <b v="0"/>
    <x v="4"/>
    <x v="3"/>
    <x v="2"/>
  </r>
  <r>
    <n v="1000000697"/>
    <x v="697"/>
    <s v="Amy Thomas"/>
    <s v="['Potatoes', 'Dish Soap', 'Cereal']"/>
    <n v="1"/>
    <n v="16.170000000000002"/>
    <x v="2"/>
    <x v="8"/>
    <x v="0"/>
    <b v="0"/>
    <x v="7"/>
    <x v="3"/>
    <x v="1"/>
  </r>
  <r>
    <n v="1000000698"/>
    <x v="698"/>
    <s v="Michele Cook"/>
    <s v="['Cleaning Rags']"/>
    <n v="4"/>
    <n v="82.8"/>
    <x v="1"/>
    <x v="6"/>
    <x v="5"/>
    <b v="0"/>
    <x v="3"/>
    <x v="0"/>
    <x v="2"/>
  </r>
  <r>
    <n v="1000000699"/>
    <x v="699"/>
    <s v="Megan Duran"/>
    <s v="['BBQ Sauce', 'Jam']"/>
    <n v="4"/>
    <n v="94.09"/>
    <x v="1"/>
    <x v="2"/>
    <x v="1"/>
    <b v="1"/>
    <x v="5"/>
    <x v="1"/>
    <x v="2"/>
  </r>
  <r>
    <n v="1000000700"/>
    <x v="700"/>
    <s v="Rachel Pearson"/>
    <s v="['Toilet Paper']"/>
    <n v="9"/>
    <n v="95.99"/>
    <x v="1"/>
    <x v="3"/>
    <x v="4"/>
    <b v="1"/>
    <x v="4"/>
    <x v="0"/>
    <x v="2"/>
  </r>
  <r>
    <n v="1000000701"/>
    <x v="701"/>
    <s v="David Stone"/>
    <s v="['BBQ Sauce']"/>
    <n v="9"/>
    <n v="38.47"/>
    <x v="1"/>
    <x v="1"/>
    <x v="2"/>
    <b v="1"/>
    <x v="3"/>
    <x v="1"/>
    <x v="2"/>
  </r>
  <r>
    <n v="1000000702"/>
    <x v="702"/>
    <s v="Mark Martinez"/>
    <s v="['Toothpaste']"/>
    <n v="6"/>
    <n v="31.93"/>
    <x v="0"/>
    <x v="5"/>
    <x v="0"/>
    <b v="0"/>
    <x v="2"/>
    <x v="3"/>
    <x v="0"/>
  </r>
  <r>
    <n v="1000000703"/>
    <x v="703"/>
    <s v="Chase Richard"/>
    <s v="['Cereal Bars', 'Mop', 'Broom', 'Soap', 'Trash Bags']"/>
    <n v="6"/>
    <n v="69.88"/>
    <x v="2"/>
    <x v="2"/>
    <x v="5"/>
    <b v="1"/>
    <x v="0"/>
    <x v="2"/>
    <x v="1"/>
  </r>
  <r>
    <n v="1000000704"/>
    <x v="704"/>
    <s v="Barry Patterson"/>
    <s v="['Tomatoes', 'Shaving Cream', 'Butter', 'Vinegar']"/>
    <n v="10"/>
    <n v="57.78"/>
    <x v="1"/>
    <x v="9"/>
    <x v="0"/>
    <b v="1"/>
    <x v="6"/>
    <x v="0"/>
    <x v="1"/>
  </r>
  <r>
    <n v="1000000705"/>
    <x v="705"/>
    <s v="Felicia Cook"/>
    <s v="['Dustpan']"/>
    <n v="10"/>
    <n v="35.92"/>
    <x v="2"/>
    <x v="8"/>
    <x v="5"/>
    <b v="0"/>
    <x v="2"/>
    <x v="0"/>
    <x v="0"/>
  </r>
  <r>
    <n v="1000000706"/>
    <x v="706"/>
    <s v="Jillian Walsh"/>
    <s v="['Canned Soup', 'Mustard', 'Tuna']"/>
    <n v="5"/>
    <n v="48.55"/>
    <x v="0"/>
    <x v="7"/>
    <x v="5"/>
    <b v="0"/>
    <x v="3"/>
    <x v="0"/>
    <x v="1"/>
  </r>
  <r>
    <n v="1000000707"/>
    <x v="707"/>
    <s v="Adam Garrett"/>
    <s v="['Razors', 'Baby Wipes', 'Chips', 'Razors']"/>
    <n v="3"/>
    <n v="32.46"/>
    <x v="2"/>
    <x v="7"/>
    <x v="1"/>
    <b v="0"/>
    <x v="6"/>
    <x v="0"/>
    <x v="2"/>
  </r>
  <r>
    <n v="1000000708"/>
    <x v="708"/>
    <s v="Richard Santiago"/>
    <s v="['Insect Repellent', 'Rice']"/>
    <n v="3"/>
    <n v="11.33"/>
    <x v="1"/>
    <x v="4"/>
    <x v="0"/>
    <b v="1"/>
    <x v="3"/>
    <x v="0"/>
    <x v="2"/>
  </r>
  <r>
    <n v="1000000709"/>
    <x v="709"/>
    <s v="Diana White"/>
    <s v="['Shampoo', 'Honey', 'Diapers', 'Potatoes']"/>
    <n v="10"/>
    <n v="57.84"/>
    <x v="0"/>
    <x v="2"/>
    <x v="1"/>
    <b v="1"/>
    <x v="2"/>
    <x v="2"/>
    <x v="1"/>
  </r>
  <r>
    <n v="1000000710"/>
    <x v="710"/>
    <s v="Cody Bates"/>
    <s v="['Carrots', 'Spinach']"/>
    <n v="4"/>
    <n v="35.26"/>
    <x v="3"/>
    <x v="2"/>
    <x v="2"/>
    <b v="0"/>
    <x v="1"/>
    <x v="1"/>
    <x v="0"/>
  </r>
  <r>
    <n v="1000000711"/>
    <x v="711"/>
    <s v="Mary Maddox"/>
    <s v="['Plant Fertilizer', 'Orange', 'Vacuum Cleaner', 'Lawn Mower', 'Canned Soup']"/>
    <n v="10"/>
    <n v="56.9"/>
    <x v="3"/>
    <x v="8"/>
    <x v="2"/>
    <b v="1"/>
    <x v="4"/>
    <x v="2"/>
    <x v="0"/>
  </r>
  <r>
    <n v="1000000712"/>
    <x v="712"/>
    <s v="Christopher Davis"/>
    <s v="['Iron', 'Ice Cream', 'Light Bulbs', 'Onions']"/>
    <n v="5"/>
    <n v="27.08"/>
    <x v="1"/>
    <x v="2"/>
    <x v="1"/>
    <b v="1"/>
    <x v="7"/>
    <x v="3"/>
    <x v="0"/>
  </r>
  <r>
    <n v="1000000713"/>
    <x v="713"/>
    <s v="Thomas Fitzgerald"/>
    <s v="['Jam']"/>
    <n v="9"/>
    <n v="34.659999999999997"/>
    <x v="1"/>
    <x v="3"/>
    <x v="5"/>
    <b v="0"/>
    <x v="3"/>
    <x v="0"/>
    <x v="2"/>
  </r>
  <r>
    <n v="1000000714"/>
    <x v="714"/>
    <s v="Paul Silva"/>
    <s v="['Peanut Butter', 'Trash Cans']"/>
    <n v="1"/>
    <n v="17.899999999999999"/>
    <x v="3"/>
    <x v="1"/>
    <x v="0"/>
    <b v="1"/>
    <x v="1"/>
    <x v="3"/>
    <x v="2"/>
  </r>
  <r>
    <n v="1000000715"/>
    <x v="715"/>
    <s v="Sabrina Kim DDS"/>
    <s v="['Toothbrush', 'Dish Soap', 'Insect Repellent', 'Mustard', 'Trash Cans']"/>
    <n v="8"/>
    <n v="93.12"/>
    <x v="1"/>
    <x v="1"/>
    <x v="0"/>
    <b v="1"/>
    <x v="2"/>
    <x v="1"/>
    <x v="2"/>
  </r>
  <r>
    <n v="1000000716"/>
    <x v="716"/>
    <s v="Leslie Bowman"/>
    <s v="['Onions']"/>
    <n v="2"/>
    <n v="80.75"/>
    <x v="3"/>
    <x v="4"/>
    <x v="1"/>
    <b v="1"/>
    <x v="0"/>
    <x v="3"/>
    <x v="0"/>
  </r>
  <r>
    <n v="1000000717"/>
    <x v="717"/>
    <s v="Amanda Wilson DDS"/>
    <s v="['Banana']"/>
    <n v="7"/>
    <n v="56.36"/>
    <x v="1"/>
    <x v="8"/>
    <x v="5"/>
    <b v="0"/>
    <x v="1"/>
    <x v="3"/>
    <x v="1"/>
  </r>
  <r>
    <n v="1000000718"/>
    <x v="718"/>
    <s v="Kristin Rodriguez"/>
    <s v="['Paper Towels', 'Tea', 'Beef']"/>
    <n v="8"/>
    <n v="33.75"/>
    <x v="3"/>
    <x v="7"/>
    <x v="4"/>
    <b v="0"/>
    <x v="5"/>
    <x v="3"/>
    <x v="2"/>
  </r>
  <r>
    <n v="1000000719"/>
    <x v="719"/>
    <s v="Kristen Ramsey"/>
    <s v="['Paper Towels', 'Chips']"/>
    <n v="9"/>
    <n v="90.48"/>
    <x v="1"/>
    <x v="3"/>
    <x v="5"/>
    <b v="0"/>
    <x v="7"/>
    <x v="2"/>
    <x v="1"/>
  </r>
  <r>
    <n v="1000000720"/>
    <x v="720"/>
    <s v="James Fox"/>
    <s v="['Ketchup']"/>
    <n v="10"/>
    <n v="56.69"/>
    <x v="0"/>
    <x v="7"/>
    <x v="3"/>
    <b v="1"/>
    <x v="0"/>
    <x v="1"/>
    <x v="1"/>
  </r>
  <r>
    <n v="1000000721"/>
    <x v="721"/>
    <s v="Mary Hendricks"/>
    <s v="['Trash Cans', 'Cereal', 'Broom']"/>
    <n v="3"/>
    <n v="57.58"/>
    <x v="0"/>
    <x v="2"/>
    <x v="5"/>
    <b v="1"/>
    <x v="5"/>
    <x v="1"/>
    <x v="0"/>
  </r>
  <r>
    <n v="1000000722"/>
    <x v="722"/>
    <s v="Jamie Williams"/>
    <s v="['Bath Towels']"/>
    <n v="2"/>
    <n v="34.46"/>
    <x v="1"/>
    <x v="0"/>
    <x v="0"/>
    <b v="1"/>
    <x v="2"/>
    <x v="0"/>
    <x v="0"/>
  </r>
  <r>
    <n v="1000000723"/>
    <x v="723"/>
    <s v="Thomas Hughes"/>
    <s v="['Banana', 'Deodorant', 'Coffee', 'Laundry Detergent']"/>
    <n v="6"/>
    <n v="47.35"/>
    <x v="3"/>
    <x v="3"/>
    <x v="0"/>
    <b v="1"/>
    <x v="5"/>
    <x v="1"/>
    <x v="2"/>
  </r>
  <r>
    <n v="1000000724"/>
    <x v="724"/>
    <s v="Natasha Cooper"/>
    <s v="['Syrup']"/>
    <n v="2"/>
    <n v="99.6"/>
    <x v="2"/>
    <x v="4"/>
    <x v="5"/>
    <b v="0"/>
    <x v="7"/>
    <x v="0"/>
    <x v="1"/>
  </r>
  <r>
    <n v="1000000725"/>
    <x v="725"/>
    <s v="Kathleen Allen"/>
    <s v="['Power Strips', 'Lawn Mower', 'Toothpaste']"/>
    <n v="5"/>
    <n v="43.28"/>
    <x v="1"/>
    <x v="1"/>
    <x v="1"/>
    <b v="0"/>
    <x v="7"/>
    <x v="0"/>
    <x v="0"/>
  </r>
  <r>
    <n v="1000000726"/>
    <x v="726"/>
    <s v="Julie Johnson"/>
    <s v="['Butter', 'Bread', 'Feminine Hygiene Products', 'Paper Towels', 'Canned Soup']"/>
    <n v="4"/>
    <n v="8.4499999999999993"/>
    <x v="0"/>
    <x v="8"/>
    <x v="1"/>
    <b v="0"/>
    <x v="5"/>
    <x v="2"/>
    <x v="1"/>
  </r>
  <r>
    <n v="1000000727"/>
    <x v="727"/>
    <s v="Gabriel Clark"/>
    <s v="['Cereal Bars', 'Salmon', 'Banana']"/>
    <n v="1"/>
    <n v="17.5"/>
    <x v="3"/>
    <x v="5"/>
    <x v="5"/>
    <b v="1"/>
    <x v="3"/>
    <x v="1"/>
    <x v="0"/>
  </r>
  <r>
    <n v="1000000728"/>
    <x v="728"/>
    <s v="Barry Warner"/>
    <s v="['Trash Bags', 'Cleaning Spray', 'Salmon']"/>
    <n v="5"/>
    <n v="77.33"/>
    <x v="2"/>
    <x v="1"/>
    <x v="2"/>
    <b v="0"/>
    <x v="2"/>
    <x v="0"/>
    <x v="2"/>
  </r>
  <r>
    <n v="1000000729"/>
    <x v="729"/>
    <s v="Karen Carter"/>
    <s v="['Baby Wipes']"/>
    <n v="10"/>
    <n v="7.34"/>
    <x v="1"/>
    <x v="9"/>
    <x v="0"/>
    <b v="1"/>
    <x v="0"/>
    <x v="2"/>
    <x v="0"/>
  </r>
  <r>
    <n v="1000000730"/>
    <x v="730"/>
    <s v="Austin Moore"/>
    <s v="['Laundry Detergent', 'Cleaning Rags', 'Vinegar', 'Laundry Detergent']"/>
    <n v="4"/>
    <n v="32.770000000000003"/>
    <x v="3"/>
    <x v="9"/>
    <x v="1"/>
    <b v="0"/>
    <x v="0"/>
    <x v="3"/>
    <x v="2"/>
  </r>
  <r>
    <n v="1000000731"/>
    <x v="731"/>
    <s v="Nicholas Henderson"/>
    <s v="['Ice Cream', 'Cereal', 'Tomatoes', 'Orange', 'Onions']"/>
    <n v="6"/>
    <n v="72.92"/>
    <x v="3"/>
    <x v="1"/>
    <x v="2"/>
    <b v="0"/>
    <x v="7"/>
    <x v="1"/>
    <x v="0"/>
  </r>
  <r>
    <n v="1000000732"/>
    <x v="732"/>
    <s v="Shelia Edwards"/>
    <s v="['Pickles']"/>
    <n v="10"/>
    <n v="21.76"/>
    <x v="1"/>
    <x v="0"/>
    <x v="3"/>
    <b v="0"/>
    <x v="3"/>
    <x v="2"/>
    <x v="1"/>
  </r>
  <r>
    <n v="1000000733"/>
    <x v="733"/>
    <s v="Laura Edwards"/>
    <s v="['Rice', 'Baby Wipes', 'Bread', 'Milk', 'Shrimp']"/>
    <n v="7"/>
    <n v="89.3"/>
    <x v="3"/>
    <x v="9"/>
    <x v="0"/>
    <b v="0"/>
    <x v="0"/>
    <x v="0"/>
    <x v="1"/>
  </r>
  <r>
    <n v="1000000734"/>
    <x v="734"/>
    <s v="Dylan Leonard"/>
    <s v="['Soap']"/>
    <n v="1"/>
    <n v="91.71"/>
    <x v="0"/>
    <x v="6"/>
    <x v="4"/>
    <b v="0"/>
    <x v="2"/>
    <x v="3"/>
    <x v="0"/>
  </r>
  <r>
    <n v="1000000735"/>
    <x v="735"/>
    <s v="Jeremiah Fernandez"/>
    <s v="['Honey', 'Trash Bags', 'Tuna', 'Canned Soup', 'Vinegar']"/>
    <n v="4"/>
    <n v="71.75"/>
    <x v="3"/>
    <x v="2"/>
    <x v="5"/>
    <b v="0"/>
    <x v="4"/>
    <x v="0"/>
    <x v="1"/>
  </r>
  <r>
    <n v="1000000736"/>
    <x v="736"/>
    <s v="Kyle Mitchell"/>
    <s v="['Vinegar', 'Insect Repellent']"/>
    <n v="9"/>
    <n v="49.02"/>
    <x v="2"/>
    <x v="6"/>
    <x v="1"/>
    <b v="0"/>
    <x v="2"/>
    <x v="2"/>
    <x v="0"/>
  </r>
  <r>
    <n v="1000000737"/>
    <x v="737"/>
    <s v="Bill Mejia"/>
    <s v="['Canned Soup', 'Peanut Butter', 'Orange']"/>
    <n v="3"/>
    <n v="16.579999999999998"/>
    <x v="2"/>
    <x v="6"/>
    <x v="2"/>
    <b v="0"/>
    <x v="4"/>
    <x v="1"/>
    <x v="1"/>
  </r>
  <r>
    <n v="1000000738"/>
    <x v="738"/>
    <s v="Edward Ramsey"/>
    <s v="['BBQ Sauce', 'Butter', 'Banana', 'Plant Fertilizer', 'Coffee']"/>
    <n v="4"/>
    <n v="85.25"/>
    <x v="0"/>
    <x v="0"/>
    <x v="5"/>
    <b v="1"/>
    <x v="2"/>
    <x v="3"/>
    <x v="0"/>
  </r>
  <r>
    <n v="1000000739"/>
    <x v="739"/>
    <s v="Elizabeth Brown"/>
    <s v="['Banana', 'Pasta']"/>
    <n v="2"/>
    <n v="69.42"/>
    <x v="3"/>
    <x v="7"/>
    <x v="2"/>
    <b v="1"/>
    <x v="1"/>
    <x v="2"/>
    <x v="0"/>
  </r>
  <r>
    <n v="1000000740"/>
    <x v="740"/>
    <s v="Terri Reeves"/>
    <s v="['Deodorant', 'Water', 'Olive Oil', 'Bath Towels']"/>
    <n v="7"/>
    <n v="54.37"/>
    <x v="0"/>
    <x v="7"/>
    <x v="5"/>
    <b v="0"/>
    <x v="6"/>
    <x v="3"/>
    <x v="0"/>
  </r>
  <r>
    <n v="1000000741"/>
    <x v="741"/>
    <s v="Sandra Griffith"/>
    <s v="['Ice Cream', 'Canned Soup']"/>
    <n v="3"/>
    <n v="45.26"/>
    <x v="2"/>
    <x v="1"/>
    <x v="3"/>
    <b v="1"/>
    <x v="5"/>
    <x v="2"/>
    <x v="1"/>
  </r>
  <r>
    <n v="1000000742"/>
    <x v="742"/>
    <s v="Andrea Allen"/>
    <s v="['Orange', 'Tuna', 'Olive Oil']"/>
    <n v="2"/>
    <n v="66.239999999999995"/>
    <x v="3"/>
    <x v="8"/>
    <x v="4"/>
    <b v="0"/>
    <x v="3"/>
    <x v="2"/>
    <x v="0"/>
  </r>
  <r>
    <n v="1000000743"/>
    <x v="743"/>
    <s v="Kevin Townsend"/>
    <s v="['Dishware', 'Vacuum Cleaner', 'Carrots']"/>
    <n v="9"/>
    <n v="9.2200000000000006"/>
    <x v="3"/>
    <x v="2"/>
    <x v="4"/>
    <b v="1"/>
    <x v="5"/>
    <x v="0"/>
    <x v="1"/>
  </r>
  <r>
    <n v="1000000744"/>
    <x v="744"/>
    <s v="Amanda Cummings"/>
    <s v="['Light Bulbs', 'Diapers', 'Peanut Butter', 'Cereal']"/>
    <n v="4"/>
    <n v="72.25"/>
    <x v="1"/>
    <x v="7"/>
    <x v="3"/>
    <b v="0"/>
    <x v="4"/>
    <x v="2"/>
    <x v="2"/>
  </r>
  <r>
    <n v="1000000745"/>
    <x v="745"/>
    <s v="Dr. Kiara Valentine DDS"/>
    <s v="['Shampoo', 'Trash Cans']"/>
    <n v="7"/>
    <n v="34.229999999999997"/>
    <x v="0"/>
    <x v="2"/>
    <x v="5"/>
    <b v="1"/>
    <x v="7"/>
    <x v="1"/>
    <x v="2"/>
  </r>
  <r>
    <n v="1000000746"/>
    <x v="746"/>
    <s v="Patricia Ward"/>
    <s v="['Bread', 'Ice Cream', 'Onions', 'Air Freshener', 'Spinach']"/>
    <n v="10"/>
    <n v="44.61"/>
    <x v="0"/>
    <x v="1"/>
    <x v="1"/>
    <b v="0"/>
    <x v="4"/>
    <x v="0"/>
    <x v="2"/>
  </r>
  <r>
    <n v="1000000747"/>
    <x v="747"/>
    <s v="Toni Harris"/>
    <s v="['Mop', 'Vacuum Cleaner', 'Shower Gel', 'Light Bulbs']"/>
    <n v="5"/>
    <n v="76.88"/>
    <x v="3"/>
    <x v="4"/>
    <x v="2"/>
    <b v="1"/>
    <x v="2"/>
    <x v="2"/>
    <x v="2"/>
  </r>
  <r>
    <n v="1000000748"/>
    <x v="748"/>
    <s v="Scott Nichols"/>
    <s v="['Milk', 'Broom']"/>
    <n v="3"/>
    <n v="19.45"/>
    <x v="1"/>
    <x v="9"/>
    <x v="5"/>
    <b v="1"/>
    <x v="4"/>
    <x v="1"/>
    <x v="2"/>
  </r>
  <r>
    <n v="1000000749"/>
    <x v="749"/>
    <s v="Rebekah Rivera"/>
    <s v="['Toothbrush', 'Soda', 'Syrup', 'Tissues']"/>
    <n v="9"/>
    <n v="36.049999999999997"/>
    <x v="3"/>
    <x v="6"/>
    <x v="2"/>
    <b v="1"/>
    <x v="3"/>
    <x v="0"/>
    <x v="1"/>
  </r>
  <r>
    <n v="1000000750"/>
    <x v="750"/>
    <s v="Tricia Dillon"/>
    <s v="['Extension Cords', 'Eggs', 'Feminine Hygiene Products', 'Lawn Mower', 'Spinach']"/>
    <n v="2"/>
    <n v="92.26"/>
    <x v="3"/>
    <x v="1"/>
    <x v="3"/>
    <b v="1"/>
    <x v="2"/>
    <x v="3"/>
    <x v="2"/>
  </r>
  <r>
    <n v="1000000751"/>
    <x v="751"/>
    <s v="Nicholas Silva"/>
    <s v="['Honey', 'Olive Oil']"/>
    <n v="3"/>
    <n v="36.72"/>
    <x v="1"/>
    <x v="3"/>
    <x v="4"/>
    <b v="0"/>
    <x v="6"/>
    <x v="3"/>
    <x v="1"/>
  </r>
  <r>
    <n v="1000000752"/>
    <x v="752"/>
    <s v="Kelsey Schroeder"/>
    <s v="['Dishware', 'Garden Hose', 'Syrup', 'Coffee']"/>
    <n v="8"/>
    <n v="54.67"/>
    <x v="3"/>
    <x v="4"/>
    <x v="1"/>
    <b v="0"/>
    <x v="4"/>
    <x v="2"/>
    <x v="0"/>
  </r>
  <r>
    <n v="1000000753"/>
    <x v="753"/>
    <s v="Daniel Foster"/>
    <s v="['Vinegar']"/>
    <n v="9"/>
    <n v="28.6"/>
    <x v="3"/>
    <x v="0"/>
    <x v="2"/>
    <b v="0"/>
    <x v="3"/>
    <x v="2"/>
    <x v="1"/>
  </r>
  <r>
    <n v="1000000754"/>
    <x v="754"/>
    <s v="Rachel Carpenter"/>
    <s v="['Pancake Mix', 'Pancake Mix', 'Jam', 'Sponges', 'Air Freshener']"/>
    <n v="2"/>
    <n v="93.45"/>
    <x v="1"/>
    <x v="1"/>
    <x v="1"/>
    <b v="1"/>
    <x v="1"/>
    <x v="0"/>
    <x v="1"/>
  </r>
  <r>
    <n v="1000000755"/>
    <x v="755"/>
    <s v="Lauren Carson"/>
    <s v="['Shaving Cream', 'Pickles', 'Cleaning Rags', 'Tomatoes', 'Extension Cords']"/>
    <n v="6"/>
    <n v="48.91"/>
    <x v="2"/>
    <x v="4"/>
    <x v="3"/>
    <b v="0"/>
    <x v="2"/>
    <x v="1"/>
    <x v="1"/>
  </r>
  <r>
    <n v="1000000756"/>
    <x v="756"/>
    <s v="Aaron Henderson"/>
    <s v="['Garden Hose', 'Vacuum Cleaner']"/>
    <n v="9"/>
    <n v="89.75"/>
    <x v="1"/>
    <x v="6"/>
    <x v="1"/>
    <b v="0"/>
    <x v="2"/>
    <x v="2"/>
    <x v="2"/>
  </r>
  <r>
    <n v="1000000757"/>
    <x v="757"/>
    <s v="Chloe Parks"/>
    <s v="['Iron', 'Dish Soap', 'Trash Bags']"/>
    <n v="3"/>
    <n v="73.13"/>
    <x v="2"/>
    <x v="9"/>
    <x v="2"/>
    <b v="0"/>
    <x v="5"/>
    <x v="2"/>
    <x v="1"/>
  </r>
  <r>
    <n v="1000000758"/>
    <x v="758"/>
    <s v="Cynthia Lopez"/>
    <s v="['Lawn Mower']"/>
    <n v="3"/>
    <n v="92.94"/>
    <x v="3"/>
    <x v="3"/>
    <x v="5"/>
    <b v="0"/>
    <x v="4"/>
    <x v="1"/>
    <x v="2"/>
  </r>
  <r>
    <n v="1000000759"/>
    <x v="759"/>
    <s v="Miranda Jimenez"/>
    <s v="['Eggs', 'Hair Gel']"/>
    <n v="9"/>
    <n v="98.61"/>
    <x v="2"/>
    <x v="6"/>
    <x v="0"/>
    <b v="0"/>
    <x v="1"/>
    <x v="1"/>
    <x v="0"/>
  </r>
  <r>
    <n v="1000000760"/>
    <x v="760"/>
    <s v="Paula Barton"/>
    <s v="['Chips', 'Trash Bags', 'Ketchup', 'Soap', 'Shrimp']"/>
    <n v="6"/>
    <n v="13.1"/>
    <x v="0"/>
    <x v="9"/>
    <x v="0"/>
    <b v="0"/>
    <x v="0"/>
    <x v="2"/>
    <x v="0"/>
  </r>
  <r>
    <n v="1000000761"/>
    <x v="761"/>
    <s v="James Smith"/>
    <s v="['Shaving Cream', 'Cleaning Spray', 'Butter', 'Mayonnaise', 'Vinegar']"/>
    <n v="8"/>
    <n v="9.8000000000000007"/>
    <x v="3"/>
    <x v="0"/>
    <x v="4"/>
    <b v="0"/>
    <x v="5"/>
    <x v="0"/>
    <x v="1"/>
  </r>
  <r>
    <n v="1000000762"/>
    <x v="762"/>
    <s v="Rebecca Glenn"/>
    <s v="['Trash Bags', 'Shower Gel', 'Dish Soap', 'Yogurt']"/>
    <n v="8"/>
    <n v="77.31"/>
    <x v="0"/>
    <x v="5"/>
    <x v="1"/>
    <b v="0"/>
    <x v="6"/>
    <x v="2"/>
    <x v="2"/>
  </r>
  <r>
    <n v="1000000763"/>
    <x v="763"/>
    <s v="Ian Martin"/>
    <s v="['Lawn Mower']"/>
    <n v="3"/>
    <n v="36.729999999999997"/>
    <x v="0"/>
    <x v="6"/>
    <x v="4"/>
    <b v="0"/>
    <x v="3"/>
    <x v="0"/>
    <x v="1"/>
  </r>
  <r>
    <n v="1000000764"/>
    <x v="764"/>
    <s v="Miguel Kelly"/>
    <s v="['Ironing Board', 'Paper Towels', 'Tomatoes', 'Tea']"/>
    <n v="10"/>
    <n v="50.57"/>
    <x v="3"/>
    <x v="6"/>
    <x v="3"/>
    <b v="1"/>
    <x v="7"/>
    <x v="2"/>
    <x v="1"/>
  </r>
  <r>
    <n v="1000000765"/>
    <x v="765"/>
    <s v="Mark Casey"/>
    <s v="['Spinach', 'Shrimp']"/>
    <n v="10"/>
    <n v="55.67"/>
    <x v="1"/>
    <x v="8"/>
    <x v="2"/>
    <b v="1"/>
    <x v="0"/>
    <x v="2"/>
    <x v="0"/>
  </r>
  <r>
    <n v="1000000766"/>
    <x v="766"/>
    <s v="Austin Reyes"/>
    <s v="['Canned Soup', 'Insect Repellent', 'Hand Sanitizer', 'Potatoes']"/>
    <n v="7"/>
    <n v="50.98"/>
    <x v="0"/>
    <x v="0"/>
    <x v="4"/>
    <b v="1"/>
    <x v="1"/>
    <x v="2"/>
    <x v="2"/>
  </r>
  <r>
    <n v="1000000767"/>
    <x v="767"/>
    <s v="Heidi Perkins"/>
    <s v="['Ice Cream', 'Paper Towels', 'Ironing Board']"/>
    <n v="8"/>
    <n v="99.47"/>
    <x v="2"/>
    <x v="1"/>
    <x v="1"/>
    <b v="0"/>
    <x v="6"/>
    <x v="0"/>
    <x v="0"/>
  </r>
  <r>
    <n v="1000000768"/>
    <x v="768"/>
    <s v="Brittany Peters"/>
    <s v="['Soda', 'Olive Oil', 'Rice', 'Diapers']"/>
    <n v="1"/>
    <n v="69.260000000000005"/>
    <x v="1"/>
    <x v="1"/>
    <x v="3"/>
    <b v="0"/>
    <x v="1"/>
    <x v="3"/>
    <x v="1"/>
  </r>
  <r>
    <n v="1000000769"/>
    <x v="769"/>
    <s v="Steven Andrade"/>
    <s v="['Deodorant', 'Mustard', 'Paper Towels', 'Baby Wipes']"/>
    <n v="4"/>
    <n v="72.33"/>
    <x v="3"/>
    <x v="0"/>
    <x v="4"/>
    <b v="1"/>
    <x v="1"/>
    <x v="0"/>
    <x v="0"/>
  </r>
  <r>
    <n v="1000000770"/>
    <x v="770"/>
    <s v="Samuel Mcconnell"/>
    <s v="['Toilet Paper', 'Shower Gel', 'Banana', 'Tomatoes', 'Carrots']"/>
    <n v="5"/>
    <n v="46.76"/>
    <x v="1"/>
    <x v="5"/>
    <x v="3"/>
    <b v="0"/>
    <x v="5"/>
    <x v="1"/>
    <x v="2"/>
  </r>
  <r>
    <n v="1000000771"/>
    <x v="771"/>
    <s v="Sarah Jones"/>
    <s v="['Soda']"/>
    <n v="6"/>
    <n v="65.67"/>
    <x v="0"/>
    <x v="5"/>
    <x v="0"/>
    <b v="1"/>
    <x v="0"/>
    <x v="0"/>
    <x v="0"/>
  </r>
  <r>
    <n v="1000000772"/>
    <x v="772"/>
    <s v="Alexandra Kennedy"/>
    <s v="['Iron', 'Feminine Hygiene Products', 'Tea']"/>
    <n v="1"/>
    <n v="86.7"/>
    <x v="2"/>
    <x v="3"/>
    <x v="3"/>
    <b v="0"/>
    <x v="1"/>
    <x v="2"/>
    <x v="0"/>
  </r>
  <r>
    <n v="1000000773"/>
    <x v="773"/>
    <s v="David Espinoza"/>
    <s v="['Cleaning Spray', 'Paper Towels', 'Tissues']"/>
    <n v="2"/>
    <n v="69.709999999999994"/>
    <x v="0"/>
    <x v="7"/>
    <x v="5"/>
    <b v="0"/>
    <x v="5"/>
    <x v="1"/>
    <x v="0"/>
  </r>
  <r>
    <n v="1000000774"/>
    <x v="774"/>
    <s v="Patricia Wilkinson"/>
    <s v="['Deodorant', 'Toilet Paper', 'Potatoes']"/>
    <n v="8"/>
    <n v="55.47"/>
    <x v="2"/>
    <x v="2"/>
    <x v="5"/>
    <b v="0"/>
    <x v="6"/>
    <x v="2"/>
    <x v="1"/>
  </r>
  <r>
    <n v="1000000775"/>
    <x v="775"/>
    <s v="Robert Foster"/>
    <s v="['Dish Soap', 'Ice Cream', 'Onions']"/>
    <n v="9"/>
    <n v="99.02"/>
    <x v="1"/>
    <x v="4"/>
    <x v="4"/>
    <b v="1"/>
    <x v="3"/>
    <x v="0"/>
    <x v="2"/>
  </r>
  <r>
    <n v="1000000776"/>
    <x v="776"/>
    <s v="Catherine Baker"/>
    <s v="['Garden Hose', 'Cereal']"/>
    <n v="5"/>
    <n v="64.569999999999993"/>
    <x v="3"/>
    <x v="5"/>
    <x v="2"/>
    <b v="1"/>
    <x v="6"/>
    <x v="1"/>
    <x v="2"/>
  </r>
  <r>
    <n v="1000000777"/>
    <x v="777"/>
    <s v="Javier Snow PhD"/>
    <s v="['Tissues']"/>
    <n v="1"/>
    <n v="18.809999999999999"/>
    <x v="0"/>
    <x v="2"/>
    <x v="1"/>
    <b v="0"/>
    <x v="4"/>
    <x v="2"/>
    <x v="0"/>
  </r>
  <r>
    <n v="1000000778"/>
    <x v="778"/>
    <s v="Robert Mcdaniel"/>
    <s v="['Mayonnaise', 'Jam']"/>
    <n v="6"/>
    <n v="64.349999999999994"/>
    <x v="3"/>
    <x v="7"/>
    <x v="0"/>
    <b v="1"/>
    <x v="0"/>
    <x v="0"/>
    <x v="0"/>
  </r>
  <r>
    <n v="1000000779"/>
    <x v="779"/>
    <s v="Nicholas Washington"/>
    <s v="['Milk']"/>
    <n v="9"/>
    <n v="69.64"/>
    <x v="3"/>
    <x v="0"/>
    <x v="1"/>
    <b v="0"/>
    <x v="5"/>
    <x v="0"/>
    <x v="1"/>
  </r>
  <r>
    <n v="1000000780"/>
    <x v="780"/>
    <s v="Richard Huynh"/>
    <s v="['Tuna', 'Razors', 'Deodorant', 'Bath Towels', 'Hair Gel']"/>
    <n v="9"/>
    <n v="87.15"/>
    <x v="3"/>
    <x v="9"/>
    <x v="5"/>
    <b v="1"/>
    <x v="2"/>
    <x v="0"/>
    <x v="2"/>
  </r>
  <r>
    <n v="1000000781"/>
    <x v="781"/>
    <s v="Kathryn Brooks"/>
    <s v="['Soda', 'Chicken', 'Insect Repellent']"/>
    <n v="7"/>
    <n v="61.99"/>
    <x v="0"/>
    <x v="3"/>
    <x v="3"/>
    <b v="1"/>
    <x v="7"/>
    <x v="2"/>
    <x v="1"/>
  </r>
  <r>
    <n v="1000000782"/>
    <x v="782"/>
    <s v="Christopher Wright"/>
    <s v="['Cleaning Rags', 'Honey', 'Bread', 'Mop']"/>
    <n v="5"/>
    <n v="96.88"/>
    <x v="3"/>
    <x v="6"/>
    <x v="0"/>
    <b v="0"/>
    <x v="7"/>
    <x v="2"/>
    <x v="2"/>
  </r>
  <r>
    <n v="1000000783"/>
    <x v="783"/>
    <s v="Robert Scott"/>
    <s v="['Toothbrush', 'Mustard', 'Spinach', 'Cleaning Rags']"/>
    <n v="1"/>
    <n v="74.849999999999994"/>
    <x v="3"/>
    <x v="3"/>
    <x v="4"/>
    <b v="0"/>
    <x v="7"/>
    <x v="0"/>
    <x v="2"/>
  </r>
  <r>
    <n v="1000000784"/>
    <x v="784"/>
    <s v="Laura Schmidt"/>
    <s v="['Paper Towels', 'Ironing Board', 'Dish Soap', 'Yogurt', 'Air Freshener']"/>
    <n v="7"/>
    <n v="18.920000000000002"/>
    <x v="2"/>
    <x v="9"/>
    <x v="3"/>
    <b v="0"/>
    <x v="3"/>
    <x v="3"/>
    <x v="0"/>
  </r>
  <r>
    <n v="1000000785"/>
    <x v="785"/>
    <s v="Edward Fernandez"/>
    <s v="['Cleaning Rags']"/>
    <n v="4"/>
    <n v="40.61"/>
    <x v="2"/>
    <x v="4"/>
    <x v="4"/>
    <b v="1"/>
    <x v="6"/>
    <x v="1"/>
    <x v="2"/>
  </r>
  <r>
    <n v="1000000786"/>
    <x v="786"/>
    <s v="Daisy Cain"/>
    <s v="['Potatoes', 'Soda', 'Hand Sanitizer', 'Sponges', 'Tuna']"/>
    <n v="5"/>
    <n v="21.72"/>
    <x v="1"/>
    <x v="3"/>
    <x v="4"/>
    <b v="1"/>
    <x v="1"/>
    <x v="2"/>
    <x v="0"/>
  </r>
  <r>
    <n v="1000000787"/>
    <x v="787"/>
    <s v="Krystal Young"/>
    <s v="['Water', 'Pancake Mix']"/>
    <n v="3"/>
    <n v="90.39"/>
    <x v="1"/>
    <x v="4"/>
    <x v="5"/>
    <b v="1"/>
    <x v="0"/>
    <x v="1"/>
    <x v="2"/>
  </r>
  <r>
    <n v="1000000788"/>
    <x v="788"/>
    <s v="Anna Richard"/>
    <s v="['Chicken', 'Baby Wipes', 'Ice Cream', 'Chips', 'Yogurt']"/>
    <n v="9"/>
    <n v="60.52"/>
    <x v="1"/>
    <x v="6"/>
    <x v="0"/>
    <b v="1"/>
    <x v="0"/>
    <x v="1"/>
    <x v="1"/>
  </r>
  <r>
    <n v="1000000789"/>
    <x v="789"/>
    <s v="Cheryl Solis"/>
    <s v="['BBQ Sauce', 'Tea', 'Garden Hose', 'Cheese']"/>
    <n v="1"/>
    <n v="34.93"/>
    <x v="1"/>
    <x v="4"/>
    <x v="0"/>
    <b v="0"/>
    <x v="1"/>
    <x v="1"/>
    <x v="0"/>
  </r>
  <r>
    <n v="1000000790"/>
    <x v="790"/>
    <s v="Timothy Lane"/>
    <s v="['Cleaning Spray']"/>
    <n v="5"/>
    <n v="66.45"/>
    <x v="2"/>
    <x v="9"/>
    <x v="3"/>
    <b v="1"/>
    <x v="0"/>
    <x v="3"/>
    <x v="1"/>
  </r>
  <r>
    <n v="1000000791"/>
    <x v="791"/>
    <s v="Peter Cruz"/>
    <s v="['Pasta', 'Tissues', 'Onions', 'Pasta']"/>
    <n v="8"/>
    <n v="32.03"/>
    <x v="3"/>
    <x v="3"/>
    <x v="5"/>
    <b v="1"/>
    <x v="5"/>
    <x v="1"/>
    <x v="1"/>
  </r>
  <r>
    <n v="1000000792"/>
    <x v="792"/>
    <s v="Taylor Everett"/>
    <s v="['Razors', 'Syrup']"/>
    <n v="8"/>
    <n v="49.43"/>
    <x v="2"/>
    <x v="4"/>
    <x v="0"/>
    <b v="1"/>
    <x v="3"/>
    <x v="3"/>
    <x v="0"/>
  </r>
  <r>
    <n v="1000000793"/>
    <x v="793"/>
    <s v="Carla Smith"/>
    <s v="['Mop', 'Light Bulbs', 'Trash Cans', 'Eggs', 'Laundry Detergent']"/>
    <n v="8"/>
    <n v="73.02"/>
    <x v="0"/>
    <x v="7"/>
    <x v="1"/>
    <b v="1"/>
    <x v="0"/>
    <x v="1"/>
    <x v="0"/>
  </r>
  <r>
    <n v="1000000794"/>
    <x v="794"/>
    <s v="Vanessa Myers"/>
    <s v="['Iron', 'Trash Bags', 'Feminine Hygiene Products']"/>
    <n v="7"/>
    <n v="52.15"/>
    <x v="3"/>
    <x v="4"/>
    <x v="2"/>
    <b v="1"/>
    <x v="4"/>
    <x v="0"/>
    <x v="0"/>
  </r>
  <r>
    <n v="1000000795"/>
    <x v="795"/>
    <s v="Joseph Roberts"/>
    <s v="['Extension Cords', 'Honey', 'Carrots', 'Cereal', 'Diapers']"/>
    <n v="8"/>
    <n v="89.26"/>
    <x v="2"/>
    <x v="0"/>
    <x v="1"/>
    <b v="0"/>
    <x v="3"/>
    <x v="1"/>
    <x v="1"/>
  </r>
  <r>
    <n v="1000000796"/>
    <x v="796"/>
    <s v="Donna Fitzgerald"/>
    <s v="['Toilet Paper', 'Soda', 'Cereal Bars', 'Apple']"/>
    <n v="4"/>
    <n v="63.23"/>
    <x v="2"/>
    <x v="0"/>
    <x v="0"/>
    <b v="0"/>
    <x v="7"/>
    <x v="3"/>
    <x v="2"/>
  </r>
  <r>
    <n v="1000000797"/>
    <x v="797"/>
    <s v="Brittany Ward"/>
    <s v="['Cleaning Rags', 'Cleaning Spray', 'Tissues']"/>
    <n v="6"/>
    <n v="12.68"/>
    <x v="3"/>
    <x v="1"/>
    <x v="3"/>
    <b v="0"/>
    <x v="0"/>
    <x v="2"/>
    <x v="0"/>
  </r>
  <r>
    <n v="1000000798"/>
    <x v="798"/>
    <s v="Dennis Richardson"/>
    <s v="['Trash Cans', 'Sponges', 'Canned Soup']"/>
    <n v="4"/>
    <n v="53.3"/>
    <x v="1"/>
    <x v="1"/>
    <x v="1"/>
    <b v="1"/>
    <x v="4"/>
    <x v="2"/>
    <x v="0"/>
  </r>
  <r>
    <n v="1000000799"/>
    <x v="799"/>
    <s v="Misty Pena"/>
    <s v="['Mayonnaise', 'Toothbrush', 'Water', 'Mop']"/>
    <n v="6"/>
    <n v="15.53"/>
    <x v="0"/>
    <x v="0"/>
    <x v="5"/>
    <b v="1"/>
    <x v="3"/>
    <x v="1"/>
    <x v="2"/>
  </r>
  <r>
    <n v="1000000800"/>
    <x v="800"/>
    <s v="Brenda Garcia"/>
    <s v="['Feminine Hygiene Products', 'Banana', 'Tissues', 'Olive Oil']"/>
    <n v="9"/>
    <n v="21.97"/>
    <x v="2"/>
    <x v="4"/>
    <x v="4"/>
    <b v="0"/>
    <x v="4"/>
    <x v="2"/>
    <x v="1"/>
  </r>
  <r>
    <n v="1000000801"/>
    <x v="801"/>
    <s v="Ryan Newman"/>
    <s v="['Cheese', 'Honey', 'Milk']"/>
    <n v="5"/>
    <n v="98.11"/>
    <x v="2"/>
    <x v="2"/>
    <x v="2"/>
    <b v="0"/>
    <x v="5"/>
    <x v="1"/>
    <x v="1"/>
  </r>
  <r>
    <n v="1000000802"/>
    <x v="802"/>
    <s v="Tiffany Kelley"/>
    <s v="['Ironing Board', 'Tea', 'Jam', 'Beef', 'Vacuum Cleaner']"/>
    <n v="6"/>
    <n v="10.58"/>
    <x v="3"/>
    <x v="1"/>
    <x v="4"/>
    <b v="1"/>
    <x v="6"/>
    <x v="0"/>
    <x v="2"/>
  </r>
  <r>
    <n v="1000000803"/>
    <x v="803"/>
    <s v="Seth Walker"/>
    <s v="['Eggs']"/>
    <n v="6"/>
    <n v="45.59"/>
    <x v="0"/>
    <x v="8"/>
    <x v="1"/>
    <b v="0"/>
    <x v="1"/>
    <x v="0"/>
    <x v="0"/>
  </r>
  <r>
    <n v="1000000804"/>
    <x v="804"/>
    <s v="Monica Terrell"/>
    <s v="['Potatoes', 'Cereal', 'Extension Cords', 'Plant Fertilizer', 'Bath Towels']"/>
    <n v="10"/>
    <n v="23.19"/>
    <x v="3"/>
    <x v="6"/>
    <x v="1"/>
    <b v="0"/>
    <x v="6"/>
    <x v="1"/>
    <x v="1"/>
  </r>
  <r>
    <n v="1000000805"/>
    <x v="805"/>
    <s v="Victoria Scott"/>
    <s v="['Shaving Cream', 'Hair Gel', 'Cleaning Spray', 'Mop', 'Tissues']"/>
    <n v="5"/>
    <n v="90.79"/>
    <x v="3"/>
    <x v="9"/>
    <x v="4"/>
    <b v="1"/>
    <x v="6"/>
    <x v="2"/>
    <x v="1"/>
  </r>
  <r>
    <n v="1000000806"/>
    <x v="806"/>
    <s v="Steven Jackson MD"/>
    <s v="['Power Strips', 'Plant Fertilizer', 'Razors', 'Lawn Mower']"/>
    <n v="5"/>
    <n v="19.309999999999999"/>
    <x v="0"/>
    <x v="8"/>
    <x v="1"/>
    <b v="0"/>
    <x v="1"/>
    <x v="0"/>
    <x v="0"/>
  </r>
  <r>
    <n v="1000000807"/>
    <x v="807"/>
    <s v="Martin Love"/>
    <s v="['Extension Cords', 'Cereal Bars', 'Toothbrush', 'Mayonnaise']"/>
    <n v="7"/>
    <n v="28.26"/>
    <x v="1"/>
    <x v="6"/>
    <x v="3"/>
    <b v="0"/>
    <x v="5"/>
    <x v="3"/>
    <x v="2"/>
  </r>
  <r>
    <n v="1000000808"/>
    <x v="808"/>
    <s v="David Mcclure"/>
    <s v="['Olive Oil']"/>
    <n v="10"/>
    <n v="8.48"/>
    <x v="1"/>
    <x v="2"/>
    <x v="5"/>
    <b v="0"/>
    <x v="3"/>
    <x v="0"/>
    <x v="2"/>
  </r>
  <r>
    <n v="1000000809"/>
    <x v="809"/>
    <s v="Austin Deleon"/>
    <s v="['Jam', 'Trash Cans']"/>
    <n v="5"/>
    <n v="81.41"/>
    <x v="1"/>
    <x v="5"/>
    <x v="3"/>
    <b v="1"/>
    <x v="2"/>
    <x v="3"/>
    <x v="1"/>
  </r>
  <r>
    <n v="1000000810"/>
    <x v="810"/>
    <s v="Tina Mooney"/>
    <s v="['Vacuum Cleaner']"/>
    <n v="6"/>
    <n v="84.84"/>
    <x v="3"/>
    <x v="0"/>
    <x v="5"/>
    <b v="1"/>
    <x v="3"/>
    <x v="1"/>
    <x v="0"/>
  </r>
  <r>
    <n v="1000000811"/>
    <x v="811"/>
    <s v="Melinda Crawford"/>
    <s v="['Water', 'Syrup', 'Spinach', 'Canned Soup']"/>
    <n v="7"/>
    <n v="71.64"/>
    <x v="3"/>
    <x v="1"/>
    <x v="2"/>
    <b v="0"/>
    <x v="4"/>
    <x v="2"/>
    <x v="0"/>
  </r>
  <r>
    <n v="1000000812"/>
    <x v="812"/>
    <s v="Caleb Booth"/>
    <s v="['Pasta', 'Syrup', 'Hair Gel', 'Diapers']"/>
    <n v="8"/>
    <n v="20.05"/>
    <x v="3"/>
    <x v="4"/>
    <x v="0"/>
    <b v="1"/>
    <x v="6"/>
    <x v="1"/>
    <x v="1"/>
  </r>
  <r>
    <n v="1000000813"/>
    <x v="813"/>
    <s v="Louis Donovan"/>
    <s v="['Paper Towels', 'Hand Sanitizer', 'Chips', 'Lawn Mower']"/>
    <n v="6"/>
    <n v="49.74"/>
    <x v="0"/>
    <x v="1"/>
    <x v="3"/>
    <b v="1"/>
    <x v="4"/>
    <x v="2"/>
    <x v="1"/>
  </r>
  <r>
    <n v="1000000814"/>
    <x v="814"/>
    <s v="Kelli Fitzpatrick"/>
    <s v="['Iron', 'Apple', 'Chicken']"/>
    <n v="9"/>
    <n v="62.19"/>
    <x v="3"/>
    <x v="8"/>
    <x v="3"/>
    <b v="0"/>
    <x v="5"/>
    <x v="0"/>
    <x v="2"/>
  </r>
  <r>
    <n v="1000000815"/>
    <x v="815"/>
    <s v="John Henderson DDS"/>
    <s v="['Water']"/>
    <n v="9"/>
    <n v="40.36"/>
    <x v="1"/>
    <x v="4"/>
    <x v="1"/>
    <b v="1"/>
    <x v="5"/>
    <x v="3"/>
    <x v="2"/>
  </r>
  <r>
    <n v="1000000816"/>
    <x v="816"/>
    <s v="Kenneth Short"/>
    <s v="['Rice']"/>
    <n v="7"/>
    <n v="29.93"/>
    <x v="3"/>
    <x v="9"/>
    <x v="1"/>
    <b v="1"/>
    <x v="6"/>
    <x v="1"/>
    <x v="0"/>
  </r>
  <r>
    <n v="1000000817"/>
    <x v="817"/>
    <s v="Jacqueline Perez"/>
    <s v="['Milk', 'Jam', 'Shrimp']"/>
    <n v="9"/>
    <n v="28.52"/>
    <x v="0"/>
    <x v="2"/>
    <x v="1"/>
    <b v="0"/>
    <x v="5"/>
    <x v="3"/>
    <x v="2"/>
  </r>
  <r>
    <n v="1000000818"/>
    <x v="818"/>
    <s v="Julie Bowen"/>
    <s v="['Diapers', 'Toothbrush', 'Ice Cream', 'Cereal']"/>
    <n v="9"/>
    <n v="92.79"/>
    <x v="3"/>
    <x v="9"/>
    <x v="0"/>
    <b v="1"/>
    <x v="7"/>
    <x v="0"/>
    <x v="1"/>
  </r>
  <r>
    <n v="1000000819"/>
    <x v="819"/>
    <s v="Aaron Davis"/>
    <s v="['Plant Fertilizer', 'Yogurt']"/>
    <n v="9"/>
    <n v="12.06"/>
    <x v="0"/>
    <x v="9"/>
    <x v="3"/>
    <b v="0"/>
    <x v="2"/>
    <x v="2"/>
    <x v="0"/>
  </r>
  <r>
    <n v="1000000820"/>
    <x v="820"/>
    <s v="Isabella Cooper"/>
    <s v="['Pasta']"/>
    <n v="10"/>
    <n v="23.58"/>
    <x v="1"/>
    <x v="9"/>
    <x v="0"/>
    <b v="0"/>
    <x v="0"/>
    <x v="0"/>
    <x v="1"/>
  </r>
  <r>
    <n v="1000000821"/>
    <x v="821"/>
    <s v="Christie Ibarra"/>
    <s v="['Milk', 'Butter']"/>
    <n v="4"/>
    <n v="48.95"/>
    <x v="2"/>
    <x v="9"/>
    <x v="4"/>
    <b v="1"/>
    <x v="0"/>
    <x v="3"/>
    <x v="2"/>
  </r>
  <r>
    <n v="1000000822"/>
    <x v="822"/>
    <s v="Douglas Wise"/>
    <s v="['Trash Cans', 'Water', 'Shaving Cream', 'Razors']"/>
    <n v="3"/>
    <n v="23.93"/>
    <x v="3"/>
    <x v="0"/>
    <x v="4"/>
    <b v="0"/>
    <x v="3"/>
    <x v="1"/>
    <x v="0"/>
  </r>
  <r>
    <n v="1000000823"/>
    <x v="823"/>
    <s v="Donald Gilbert"/>
    <s v="['Syrup', 'Plant Fertilizer', 'Bath Towels', 'Toothbrush']"/>
    <n v="10"/>
    <n v="72.45"/>
    <x v="2"/>
    <x v="9"/>
    <x v="0"/>
    <b v="0"/>
    <x v="2"/>
    <x v="2"/>
    <x v="2"/>
  </r>
  <r>
    <n v="1000000824"/>
    <x v="824"/>
    <s v="Brandon Chen"/>
    <s v="['Dishware', 'Toothpaste', 'Toothbrush', 'Power Strips', 'Olive Oil']"/>
    <n v="8"/>
    <n v="77.06"/>
    <x v="3"/>
    <x v="7"/>
    <x v="3"/>
    <b v="1"/>
    <x v="1"/>
    <x v="2"/>
    <x v="0"/>
  </r>
  <r>
    <n v="1000000825"/>
    <x v="825"/>
    <s v="Mark Lynch"/>
    <s v="['Feminine Hygiene Products', 'Mustard', 'Coffee', 'Cereal Bars']"/>
    <n v="6"/>
    <n v="31.76"/>
    <x v="1"/>
    <x v="3"/>
    <x v="2"/>
    <b v="1"/>
    <x v="5"/>
    <x v="0"/>
    <x v="2"/>
  </r>
  <r>
    <n v="1000000826"/>
    <x v="826"/>
    <s v="Mary Tanner"/>
    <s v="['Peanut Butter', 'Laundry Detergent', 'Toothpaste', 'Mustard']"/>
    <n v="6"/>
    <n v="14.2"/>
    <x v="1"/>
    <x v="5"/>
    <x v="3"/>
    <b v="0"/>
    <x v="7"/>
    <x v="1"/>
    <x v="2"/>
  </r>
  <r>
    <n v="1000000827"/>
    <x v="827"/>
    <s v="Karen Davidson"/>
    <s v="['Dish Soap']"/>
    <n v="10"/>
    <n v="34.49"/>
    <x v="2"/>
    <x v="3"/>
    <x v="3"/>
    <b v="0"/>
    <x v="5"/>
    <x v="1"/>
    <x v="1"/>
  </r>
  <r>
    <n v="1000000828"/>
    <x v="828"/>
    <s v="Ian Price"/>
    <s v="['Peanut Butter']"/>
    <n v="1"/>
    <n v="7.26"/>
    <x v="1"/>
    <x v="3"/>
    <x v="0"/>
    <b v="1"/>
    <x v="5"/>
    <x v="3"/>
    <x v="2"/>
  </r>
  <r>
    <n v="1000000829"/>
    <x v="829"/>
    <s v="Jeffrey Brown"/>
    <s v="['Butter', 'Dish Soap', 'Broom']"/>
    <n v="7"/>
    <n v="6.22"/>
    <x v="3"/>
    <x v="5"/>
    <x v="3"/>
    <b v="0"/>
    <x v="5"/>
    <x v="1"/>
    <x v="0"/>
  </r>
  <r>
    <n v="1000000830"/>
    <x v="830"/>
    <s v="Sarah Vasquez"/>
    <s v="['Toilet Paper']"/>
    <n v="10"/>
    <n v="20.68"/>
    <x v="0"/>
    <x v="6"/>
    <x v="1"/>
    <b v="0"/>
    <x v="0"/>
    <x v="0"/>
    <x v="1"/>
  </r>
  <r>
    <n v="1000000831"/>
    <x v="831"/>
    <s v="Leslie Graves"/>
    <s v="['Rice', 'Jam', 'Salmon', 'Tissues', 'Air Freshener']"/>
    <n v="6"/>
    <n v="21.42"/>
    <x v="2"/>
    <x v="8"/>
    <x v="1"/>
    <b v="1"/>
    <x v="7"/>
    <x v="1"/>
    <x v="2"/>
  </r>
  <r>
    <n v="1000000832"/>
    <x v="832"/>
    <s v="Christopher Garcia"/>
    <s v="['Toothpaste', 'Syrup', 'Soda']"/>
    <n v="3"/>
    <n v="49.61"/>
    <x v="3"/>
    <x v="3"/>
    <x v="3"/>
    <b v="1"/>
    <x v="3"/>
    <x v="3"/>
    <x v="2"/>
  </r>
  <r>
    <n v="1000000833"/>
    <x v="833"/>
    <s v="Emily Martin"/>
    <s v="['Milk', 'Shower Gel', 'BBQ Sauce', 'Diapers']"/>
    <n v="2"/>
    <n v="37.93"/>
    <x v="3"/>
    <x v="8"/>
    <x v="2"/>
    <b v="0"/>
    <x v="2"/>
    <x v="2"/>
    <x v="1"/>
  </r>
  <r>
    <n v="1000000834"/>
    <x v="834"/>
    <s v="Alicia Lawson"/>
    <s v="['Dustpan', 'Mayonnaise']"/>
    <n v="2"/>
    <n v="93.29"/>
    <x v="1"/>
    <x v="4"/>
    <x v="3"/>
    <b v="0"/>
    <x v="4"/>
    <x v="1"/>
    <x v="1"/>
  </r>
  <r>
    <n v="1000000835"/>
    <x v="835"/>
    <s v="Beth Martinez"/>
    <s v="['Feminine Hygiene Products']"/>
    <n v="10"/>
    <n v="68.39"/>
    <x v="3"/>
    <x v="4"/>
    <x v="2"/>
    <b v="1"/>
    <x v="7"/>
    <x v="0"/>
    <x v="0"/>
  </r>
  <r>
    <n v="1000000836"/>
    <x v="836"/>
    <s v="Ann Daugherty"/>
    <s v="['Razors', 'Sponges', 'Toothpaste', 'Tea', 'Milk']"/>
    <n v="10"/>
    <n v="80.94"/>
    <x v="1"/>
    <x v="7"/>
    <x v="3"/>
    <b v="1"/>
    <x v="4"/>
    <x v="1"/>
    <x v="1"/>
  </r>
  <r>
    <n v="1000000837"/>
    <x v="837"/>
    <s v="Scott Smith"/>
    <s v="['BBQ Sauce', 'Pickles', 'Mop', 'Cleaning Spray', 'Mayonnaise']"/>
    <n v="6"/>
    <n v="88.68"/>
    <x v="3"/>
    <x v="1"/>
    <x v="0"/>
    <b v="1"/>
    <x v="5"/>
    <x v="0"/>
    <x v="0"/>
  </r>
  <r>
    <n v="1000000838"/>
    <x v="838"/>
    <s v="Sharon Norman"/>
    <s v="['Shaving Cream', 'Laundry Detergent', 'Extension Cords', 'Plant Fertilizer']"/>
    <n v="6"/>
    <n v="35.89"/>
    <x v="1"/>
    <x v="8"/>
    <x v="0"/>
    <b v="1"/>
    <x v="0"/>
    <x v="2"/>
    <x v="1"/>
  </r>
  <r>
    <n v="1000000839"/>
    <x v="839"/>
    <s v="Jamie Bautista"/>
    <s v="['Cereal', 'Insect Repellent', 'Orange', 'Carrots']"/>
    <n v="5"/>
    <n v="20.11"/>
    <x v="3"/>
    <x v="6"/>
    <x v="4"/>
    <b v="1"/>
    <x v="7"/>
    <x v="3"/>
    <x v="2"/>
  </r>
  <r>
    <n v="1000000840"/>
    <x v="840"/>
    <s v="Elizabeth Smith"/>
    <s v="['Mustard', 'Coffee', 'Soap']"/>
    <n v="10"/>
    <n v="64.33"/>
    <x v="1"/>
    <x v="0"/>
    <x v="3"/>
    <b v="0"/>
    <x v="7"/>
    <x v="0"/>
    <x v="1"/>
  </r>
  <r>
    <n v="1000000841"/>
    <x v="841"/>
    <s v="Brenda Chavez"/>
    <s v="['Mop', 'Peanut Butter', 'Apple', 'Mayonnaise']"/>
    <n v="8"/>
    <n v="41.11"/>
    <x v="2"/>
    <x v="2"/>
    <x v="0"/>
    <b v="0"/>
    <x v="6"/>
    <x v="2"/>
    <x v="1"/>
  </r>
  <r>
    <n v="1000000842"/>
    <x v="842"/>
    <s v="Mary Hall"/>
    <s v="['Soap', 'Ketchup', 'Ketchup', 'Rice']"/>
    <n v="5"/>
    <n v="19.39"/>
    <x v="3"/>
    <x v="8"/>
    <x v="4"/>
    <b v="0"/>
    <x v="1"/>
    <x v="3"/>
    <x v="0"/>
  </r>
  <r>
    <n v="1000000843"/>
    <x v="843"/>
    <s v="Jessica Wade DVM"/>
    <s v="['Eggs', 'Shampoo']"/>
    <n v="2"/>
    <n v="58.04"/>
    <x v="2"/>
    <x v="6"/>
    <x v="4"/>
    <b v="1"/>
    <x v="5"/>
    <x v="0"/>
    <x v="2"/>
  </r>
  <r>
    <n v="1000000844"/>
    <x v="844"/>
    <s v="Kimberly Williams"/>
    <s v="['Bath Towels', 'Cereal Bars']"/>
    <n v="8"/>
    <n v="55.42"/>
    <x v="0"/>
    <x v="5"/>
    <x v="4"/>
    <b v="1"/>
    <x v="4"/>
    <x v="1"/>
    <x v="2"/>
  </r>
  <r>
    <n v="1000000845"/>
    <x v="845"/>
    <s v="Brian Campos"/>
    <s v="['Pickles', 'Bath Towels']"/>
    <n v="1"/>
    <n v="84.97"/>
    <x v="2"/>
    <x v="5"/>
    <x v="3"/>
    <b v="0"/>
    <x v="5"/>
    <x v="3"/>
    <x v="1"/>
  </r>
  <r>
    <n v="1000000846"/>
    <x v="846"/>
    <s v="Ryan Bailey"/>
    <s v="['Canned Soup', 'Broom', 'Power Strips']"/>
    <n v="7"/>
    <n v="5.96"/>
    <x v="2"/>
    <x v="3"/>
    <x v="2"/>
    <b v="1"/>
    <x v="6"/>
    <x v="1"/>
    <x v="0"/>
  </r>
  <r>
    <n v="1000000847"/>
    <x v="847"/>
    <s v="Jasmine Jones"/>
    <s v="['Garden Hose', 'Milk', 'Chicken', 'Tea']"/>
    <n v="2"/>
    <n v="54.54"/>
    <x v="1"/>
    <x v="2"/>
    <x v="1"/>
    <b v="0"/>
    <x v="0"/>
    <x v="3"/>
    <x v="1"/>
  </r>
  <r>
    <n v="1000000848"/>
    <x v="848"/>
    <s v="Lynn Smith"/>
    <s v="['Hair Gel', 'Toothbrush']"/>
    <n v="9"/>
    <n v="52.7"/>
    <x v="3"/>
    <x v="2"/>
    <x v="2"/>
    <b v="0"/>
    <x v="3"/>
    <x v="0"/>
    <x v="0"/>
  </r>
  <r>
    <n v="1000000849"/>
    <x v="849"/>
    <s v="James Ramirez"/>
    <s v="['Butter', 'Dustpan']"/>
    <n v="4"/>
    <n v="59.46"/>
    <x v="1"/>
    <x v="6"/>
    <x v="0"/>
    <b v="1"/>
    <x v="0"/>
    <x v="0"/>
    <x v="2"/>
  </r>
  <r>
    <n v="1000000850"/>
    <x v="850"/>
    <s v="Stacy Ballard"/>
    <s v="['Trash Bags', 'Mop', 'Potatoes', 'Tuna']"/>
    <n v="4"/>
    <n v="9.6"/>
    <x v="1"/>
    <x v="3"/>
    <x v="0"/>
    <b v="0"/>
    <x v="7"/>
    <x v="0"/>
    <x v="1"/>
  </r>
  <r>
    <n v="1000000851"/>
    <x v="851"/>
    <s v="Dr. Jerry Massey"/>
    <s v="['Shower Gel', 'Baby Wipes']"/>
    <n v="3"/>
    <n v="20.81"/>
    <x v="3"/>
    <x v="7"/>
    <x v="3"/>
    <b v="1"/>
    <x v="0"/>
    <x v="3"/>
    <x v="2"/>
  </r>
  <r>
    <n v="1000000852"/>
    <x v="852"/>
    <s v="Marcus Smith"/>
    <s v="['Cleaning Rags']"/>
    <n v="5"/>
    <n v="71.44"/>
    <x v="3"/>
    <x v="2"/>
    <x v="0"/>
    <b v="1"/>
    <x v="4"/>
    <x v="2"/>
    <x v="0"/>
  </r>
  <r>
    <n v="1000000853"/>
    <x v="853"/>
    <s v="Jessica Rodriguez"/>
    <s v="['Broom', 'Bath Towels', 'Hair Gel']"/>
    <n v="5"/>
    <n v="13.92"/>
    <x v="0"/>
    <x v="9"/>
    <x v="4"/>
    <b v="1"/>
    <x v="0"/>
    <x v="2"/>
    <x v="1"/>
  </r>
  <r>
    <n v="1000000854"/>
    <x v="854"/>
    <s v="Heather Hunter"/>
    <s v="['Diapers', 'Air Freshener', 'Cheese']"/>
    <n v="4"/>
    <n v="68.95"/>
    <x v="2"/>
    <x v="2"/>
    <x v="0"/>
    <b v="1"/>
    <x v="6"/>
    <x v="2"/>
    <x v="1"/>
  </r>
  <r>
    <n v="1000000855"/>
    <x v="855"/>
    <s v="Felicia Miller"/>
    <s v="['Power Strips']"/>
    <n v="1"/>
    <n v="78.790000000000006"/>
    <x v="3"/>
    <x v="1"/>
    <x v="0"/>
    <b v="1"/>
    <x v="2"/>
    <x v="1"/>
    <x v="1"/>
  </r>
  <r>
    <n v="1000000856"/>
    <x v="856"/>
    <s v="Benjamin Dyer"/>
    <s v="['Cereal Bars']"/>
    <n v="4"/>
    <n v="35.19"/>
    <x v="3"/>
    <x v="7"/>
    <x v="0"/>
    <b v="1"/>
    <x v="5"/>
    <x v="3"/>
    <x v="0"/>
  </r>
  <r>
    <n v="1000000857"/>
    <x v="857"/>
    <s v="Tammy Cabrera"/>
    <s v="['Dish Soap', 'Mustard']"/>
    <n v="10"/>
    <n v="70.849999999999994"/>
    <x v="0"/>
    <x v="8"/>
    <x v="4"/>
    <b v="0"/>
    <x v="6"/>
    <x v="1"/>
    <x v="0"/>
  </r>
  <r>
    <n v="1000000858"/>
    <x v="858"/>
    <s v="Teresa Ponce"/>
    <s v="['Pasta', 'Trash Cans', 'Diapers']"/>
    <n v="3"/>
    <n v="50.04"/>
    <x v="2"/>
    <x v="5"/>
    <x v="1"/>
    <b v="0"/>
    <x v="6"/>
    <x v="1"/>
    <x v="1"/>
  </r>
  <r>
    <n v="1000000859"/>
    <x v="859"/>
    <s v="Karen Thompson"/>
    <s v="['Jam']"/>
    <n v="1"/>
    <n v="55.98"/>
    <x v="0"/>
    <x v="7"/>
    <x v="3"/>
    <b v="1"/>
    <x v="4"/>
    <x v="0"/>
    <x v="2"/>
  </r>
  <r>
    <n v="1000000860"/>
    <x v="860"/>
    <s v="Jenna Barnett"/>
    <s v="['Garden Hose']"/>
    <n v="7"/>
    <n v="34.19"/>
    <x v="3"/>
    <x v="1"/>
    <x v="2"/>
    <b v="0"/>
    <x v="3"/>
    <x v="3"/>
    <x v="1"/>
  </r>
  <r>
    <n v="1000000861"/>
    <x v="861"/>
    <s v="Sonya Smith"/>
    <s v="['Lawn Mower', 'Cheese', 'Toothpaste']"/>
    <n v="1"/>
    <n v="52.49"/>
    <x v="0"/>
    <x v="1"/>
    <x v="2"/>
    <b v="1"/>
    <x v="6"/>
    <x v="2"/>
    <x v="1"/>
  </r>
  <r>
    <n v="1000000862"/>
    <x v="862"/>
    <s v="Renee Ramos"/>
    <s v="['Hand Sanitizer']"/>
    <n v="8"/>
    <n v="78.819999999999993"/>
    <x v="3"/>
    <x v="9"/>
    <x v="0"/>
    <b v="0"/>
    <x v="4"/>
    <x v="3"/>
    <x v="1"/>
  </r>
  <r>
    <n v="1000000863"/>
    <x v="863"/>
    <s v="Nicole Scott"/>
    <s v="['Tomatoes', 'Jam', 'Extension Cords']"/>
    <n v="2"/>
    <n v="84.19"/>
    <x v="3"/>
    <x v="2"/>
    <x v="0"/>
    <b v="0"/>
    <x v="0"/>
    <x v="0"/>
    <x v="1"/>
  </r>
  <r>
    <n v="1000000864"/>
    <x v="864"/>
    <s v="Anthony Haynes"/>
    <s v="['Olive Oil', 'Toothpaste']"/>
    <n v="10"/>
    <n v="23.35"/>
    <x v="3"/>
    <x v="0"/>
    <x v="2"/>
    <b v="0"/>
    <x v="2"/>
    <x v="0"/>
    <x v="1"/>
  </r>
  <r>
    <n v="1000000865"/>
    <x v="865"/>
    <s v="Edward Shelton"/>
    <s v="['Potatoes', 'Pickles', 'Razors']"/>
    <n v="4"/>
    <n v="85.43"/>
    <x v="2"/>
    <x v="5"/>
    <x v="1"/>
    <b v="1"/>
    <x v="0"/>
    <x v="1"/>
    <x v="0"/>
  </r>
  <r>
    <n v="1000000866"/>
    <x v="866"/>
    <s v="Rachel Potts"/>
    <s v="['Jam', 'Syrup', 'Spinach']"/>
    <n v="6"/>
    <n v="63.73"/>
    <x v="2"/>
    <x v="1"/>
    <x v="3"/>
    <b v="1"/>
    <x v="6"/>
    <x v="0"/>
    <x v="0"/>
  </r>
  <r>
    <n v="1000000867"/>
    <x v="867"/>
    <s v="Jackson Simpson"/>
    <s v="['Tomatoes', 'Toothbrush', 'Toilet Paper']"/>
    <n v="6"/>
    <n v="95.25"/>
    <x v="3"/>
    <x v="1"/>
    <x v="1"/>
    <b v="1"/>
    <x v="7"/>
    <x v="0"/>
    <x v="2"/>
  </r>
  <r>
    <n v="1000000868"/>
    <x v="868"/>
    <s v="Larry Hoffman"/>
    <s v="['Peanut Butter']"/>
    <n v="8"/>
    <n v="26.98"/>
    <x v="2"/>
    <x v="0"/>
    <x v="1"/>
    <b v="0"/>
    <x v="5"/>
    <x v="3"/>
    <x v="0"/>
  </r>
  <r>
    <n v="1000000869"/>
    <x v="869"/>
    <s v="John Stout"/>
    <s v="['Jam', 'Broom']"/>
    <n v="7"/>
    <n v="36.86"/>
    <x v="1"/>
    <x v="5"/>
    <x v="4"/>
    <b v="1"/>
    <x v="1"/>
    <x v="1"/>
    <x v="0"/>
  </r>
  <r>
    <n v="1000000870"/>
    <x v="870"/>
    <s v="Evan Casey"/>
    <s v="['Milk']"/>
    <n v="7"/>
    <n v="88.33"/>
    <x v="2"/>
    <x v="3"/>
    <x v="5"/>
    <b v="0"/>
    <x v="6"/>
    <x v="2"/>
    <x v="1"/>
  </r>
  <r>
    <n v="1000000871"/>
    <x v="871"/>
    <s v="Jeanne Kennedy"/>
    <s v="['Shaving Cream', 'Trash Cans', 'Coffee', 'Ironing Board', 'Dishware']"/>
    <n v="8"/>
    <n v="72.23"/>
    <x v="3"/>
    <x v="7"/>
    <x v="0"/>
    <b v="0"/>
    <x v="0"/>
    <x v="1"/>
    <x v="2"/>
  </r>
  <r>
    <n v="1000000872"/>
    <x v="872"/>
    <s v="James Morse"/>
    <s v="['Pickles', 'Pickles', 'Apple', 'Pickles', 'Ironing Board']"/>
    <n v="10"/>
    <n v="82.22"/>
    <x v="3"/>
    <x v="1"/>
    <x v="3"/>
    <b v="0"/>
    <x v="2"/>
    <x v="1"/>
    <x v="2"/>
  </r>
  <r>
    <n v="1000000873"/>
    <x v="873"/>
    <s v="Derrick Fernandez"/>
    <s v="['Potatoes', 'Extension Cords', 'Cereal', 'Iron']"/>
    <n v="4"/>
    <n v="60.16"/>
    <x v="0"/>
    <x v="2"/>
    <x v="1"/>
    <b v="0"/>
    <x v="2"/>
    <x v="3"/>
    <x v="2"/>
  </r>
  <r>
    <n v="1000000874"/>
    <x v="874"/>
    <s v="Veronica Perry"/>
    <s v="['Butter']"/>
    <n v="6"/>
    <n v="53.16"/>
    <x v="0"/>
    <x v="3"/>
    <x v="2"/>
    <b v="1"/>
    <x v="0"/>
    <x v="3"/>
    <x v="0"/>
  </r>
  <r>
    <n v="1000000875"/>
    <x v="875"/>
    <s v="Cody Sanchez"/>
    <s v="['Salmon']"/>
    <n v="1"/>
    <n v="43.36"/>
    <x v="3"/>
    <x v="9"/>
    <x v="5"/>
    <b v="1"/>
    <x v="2"/>
    <x v="0"/>
    <x v="0"/>
  </r>
  <r>
    <n v="1000000876"/>
    <x v="876"/>
    <s v="Alexandria Roberts"/>
    <s v="['Honey', 'Razors', 'Water', 'Garden Hose', 'Shrimp']"/>
    <n v="5"/>
    <n v="84.83"/>
    <x v="2"/>
    <x v="4"/>
    <x v="4"/>
    <b v="0"/>
    <x v="0"/>
    <x v="3"/>
    <x v="0"/>
  </r>
  <r>
    <n v="1000000877"/>
    <x v="877"/>
    <s v="Sarah Wheeler"/>
    <s v="['Cheese', 'Onions', 'Ironing Board', 'Lawn Mower']"/>
    <n v="3"/>
    <n v="69.89"/>
    <x v="2"/>
    <x v="1"/>
    <x v="2"/>
    <b v="1"/>
    <x v="7"/>
    <x v="1"/>
    <x v="1"/>
  </r>
  <r>
    <n v="1000000878"/>
    <x v="878"/>
    <s v="Tara Gordon"/>
    <s v="['Yogurt']"/>
    <n v="2"/>
    <n v="70.709999999999994"/>
    <x v="0"/>
    <x v="0"/>
    <x v="0"/>
    <b v="0"/>
    <x v="2"/>
    <x v="0"/>
    <x v="0"/>
  </r>
  <r>
    <n v="1000000879"/>
    <x v="879"/>
    <s v="Ms. Stephanie Thompson"/>
    <s v="['Vinegar']"/>
    <n v="3"/>
    <n v="86.4"/>
    <x v="1"/>
    <x v="5"/>
    <x v="5"/>
    <b v="1"/>
    <x v="1"/>
    <x v="2"/>
    <x v="1"/>
  </r>
  <r>
    <n v="1000000880"/>
    <x v="880"/>
    <s v="Katrina Franklin"/>
    <s v="['Orange']"/>
    <n v="7"/>
    <n v="28.41"/>
    <x v="1"/>
    <x v="3"/>
    <x v="0"/>
    <b v="1"/>
    <x v="3"/>
    <x v="2"/>
    <x v="2"/>
  </r>
  <r>
    <n v="1000000881"/>
    <x v="881"/>
    <s v="Brittney Johnson"/>
    <s v="['Toilet Paper', 'Chips']"/>
    <n v="1"/>
    <n v="14.73"/>
    <x v="2"/>
    <x v="6"/>
    <x v="2"/>
    <b v="1"/>
    <x v="1"/>
    <x v="1"/>
    <x v="2"/>
  </r>
  <r>
    <n v="1000000882"/>
    <x v="882"/>
    <s v="Timothy Jones"/>
    <s v="['Hand Sanitizer', 'Vacuum Cleaner', 'Trash Bags', 'Plant Fertilizer']"/>
    <n v="10"/>
    <n v="68.17"/>
    <x v="1"/>
    <x v="0"/>
    <x v="5"/>
    <b v="0"/>
    <x v="7"/>
    <x v="1"/>
    <x v="1"/>
  </r>
  <r>
    <n v="1000000883"/>
    <x v="883"/>
    <s v="Colleen Daniels"/>
    <s v="['Toothbrush', 'Diapers', 'Toothbrush']"/>
    <n v="8"/>
    <n v="75.87"/>
    <x v="0"/>
    <x v="7"/>
    <x v="3"/>
    <b v="0"/>
    <x v="7"/>
    <x v="3"/>
    <x v="1"/>
  </r>
  <r>
    <n v="1000000884"/>
    <x v="884"/>
    <s v="Rachel Jacobs"/>
    <s v="['Baby Wipes', 'Soap', 'Cereal Bars']"/>
    <n v="1"/>
    <n v="26.05"/>
    <x v="0"/>
    <x v="0"/>
    <x v="1"/>
    <b v="1"/>
    <x v="0"/>
    <x v="1"/>
    <x v="0"/>
  </r>
  <r>
    <n v="1000000885"/>
    <x v="885"/>
    <s v="Jason Hawkins"/>
    <s v="['Ice Cream', 'Diapers', 'Vinegar']"/>
    <n v="9"/>
    <n v="63.35"/>
    <x v="3"/>
    <x v="4"/>
    <x v="2"/>
    <b v="0"/>
    <x v="6"/>
    <x v="1"/>
    <x v="0"/>
  </r>
  <r>
    <n v="1000000886"/>
    <x v="886"/>
    <s v="Zachary Gardner"/>
    <s v="['Light Bulbs', 'Lawn Mower', 'Cereal', 'Dustpan', 'Trash Bags']"/>
    <n v="3"/>
    <n v="84.95"/>
    <x v="1"/>
    <x v="4"/>
    <x v="1"/>
    <b v="1"/>
    <x v="7"/>
    <x v="3"/>
    <x v="1"/>
  </r>
  <r>
    <n v="1000000887"/>
    <x v="887"/>
    <s v="Gregory Torres"/>
    <s v="['Spinach', 'Yogurt']"/>
    <n v="1"/>
    <n v="61.36"/>
    <x v="2"/>
    <x v="5"/>
    <x v="4"/>
    <b v="0"/>
    <x v="2"/>
    <x v="1"/>
    <x v="1"/>
  </r>
  <r>
    <n v="1000000888"/>
    <x v="888"/>
    <s v="Frederick Hernandez"/>
    <s v="['Carrots', 'Salmon', 'Water', 'Spinach']"/>
    <n v="9"/>
    <n v="29.65"/>
    <x v="3"/>
    <x v="2"/>
    <x v="3"/>
    <b v="1"/>
    <x v="1"/>
    <x v="2"/>
    <x v="0"/>
  </r>
  <r>
    <n v="1000000889"/>
    <x v="889"/>
    <s v="Stephanie Diaz"/>
    <s v="['Hair Gel', 'Broom']"/>
    <n v="6"/>
    <n v="91.39"/>
    <x v="2"/>
    <x v="8"/>
    <x v="1"/>
    <b v="0"/>
    <x v="4"/>
    <x v="0"/>
    <x v="1"/>
  </r>
  <r>
    <n v="1000000890"/>
    <x v="890"/>
    <s v="Mrs. Brittany Snyder"/>
    <s v="['Garden Hose']"/>
    <n v="9"/>
    <n v="73.05"/>
    <x v="2"/>
    <x v="0"/>
    <x v="4"/>
    <b v="0"/>
    <x v="3"/>
    <x v="3"/>
    <x v="1"/>
  </r>
  <r>
    <n v="1000000891"/>
    <x v="891"/>
    <s v="Mason Rodriguez"/>
    <s v="['Chicken', 'Pancake Mix', 'Vinegar', 'Milk', 'Orange']"/>
    <n v="5"/>
    <n v="27.22"/>
    <x v="2"/>
    <x v="1"/>
    <x v="5"/>
    <b v="1"/>
    <x v="7"/>
    <x v="0"/>
    <x v="0"/>
  </r>
  <r>
    <n v="1000000892"/>
    <x v="892"/>
    <s v="Brian Allen"/>
    <s v="['Jam', 'Pasta', 'Coffee']"/>
    <n v="1"/>
    <n v="31.46"/>
    <x v="3"/>
    <x v="5"/>
    <x v="4"/>
    <b v="1"/>
    <x v="0"/>
    <x v="3"/>
    <x v="1"/>
  </r>
  <r>
    <n v="1000000893"/>
    <x v="893"/>
    <s v="Sarah Salas"/>
    <s v="['Ketchup', 'Syrup']"/>
    <n v="7"/>
    <n v="53.72"/>
    <x v="0"/>
    <x v="5"/>
    <x v="5"/>
    <b v="0"/>
    <x v="3"/>
    <x v="1"/>
    <x v="1"/>
  </r>
  <r>
    <n v="1000000894"/>
    <x v="894"/>
    <s v="Paul Patterson"/>
    <s v="['Carrots', 'Ketchup', 'Syrup']"/>
    <n v="9"/>
    <n v="39.369999999999997"/>
    <x v="0"/>
    <x v="5"/>
    <x v="5"/>
    <b v="0"/>
    <x v="7"/>
    <x v="3"/>
    <x v="1"/>
  </r>
  <r>
    <n v="1000000895"/>
    <x v="895"/>
    <s v="Kristin Simmons"/>
    <s v="['Bread', 'Power Strips', 'Tea']"/>
    <n v="2"/>
    <n v="47.82"/>
    <x v="3"/>
    <x v="9"/>
    <x v="5"/>
    <b v="1"/>
    <x v="4"/>
    <x v="2"/>
    <x v="0"/>
  </r>
  <r>
    <n v="1000000896"/>
    <x v="896"/>
    <s v="Peter Mathis"/>
    <s v="['Feminine Hygiene Products', 'Salmon', 'Beef', 'Honey', 'Tea']"/>
    <n v="8"/>
    <n v="85.21"/>
    <x v="1"/>
    <x v="5"/>
    <x v="2"/>
    <b v="0"/>
    <x v="6"/>
    <x v="0"/>
    <x v="2"/>
  </r>
  <r>
    <n v="1000000897"/>
    <x v="897"/>
    <s v="Traci Smith"/>
    <s v="['Chips', 'Apple', 'Shrimp', 'Pickles']"/>
    <n v="10"/>
    <n v="55.74"/>
    <x v="3"/>
    <x v="9"/>
    <x v="4"/>
    <b v="0"/>
    <x v="7"/>
    <x v="2"/>
    <x v="1"/>
  </r>
  <r>
    <n v="1000000898"/>
    <x v="898"/>
    <s v="Brandi Mcguire"/>
    <s v="['Orange']"/>
    <n v="8"/>
    <n v="6.61"/>
    <x v="0"/>
    <x v="1"/>
    <x v="3"/>
    <b v="0"/>
    <x v="0"/>
    <x v="1"/>
    <x v="1"/>
  </r>
  <r>
    <n v="1000000899"/>
    <x v="899"/>
    <s v="Jesse Davis"/>
    <s v="['Power Strips', 'Diapers', 'Paper Towels', 'Ketchup', 'Paper Towels']"/>
    <n v="5"/>
    <n v="73.98"/>
    <x v="1"/>
    <x v="0"/>
    <x v="4"/>
    <b v="0"/>
    <x v="1"/>
    <x v="3"/>
    <x v="1"/>
  </r>
  <r>
    <n v="1000000900"/>
    <x v="900"/>
    <s v="Jennifer Gonzalez"/>
    <s v="['Extension Cords', 'Broom']"/>
    <n v="8"/>
    <n v="23.67"/>
    <x v="3"/>
    <x v="3"/>
    <x v="2"/>
    <b v="1"/>
    <x v="2"/>
    <x v="2"/>
    <x v="0"/>
  </r>
  <r>
    <n v="1000000901"/>
    <x v="901"/>
    <s v="Leah Rice"/>
    <s v="['Milk', 'BBQ Sauce', 'Onions', 'Dustpan', 'Tomatoes']"/>
    <n v="6"/>
    <n v="33.79"/>
    <x v="0"/>
    <x v="3"/>
    <x v="0"/>
    <b v="0"/>
    <x v="4"/>
    <x v="3"/>
    <x v="2"/>
  </r>
  <r>
    <n v="1000000902"/>
    <x v="902"/>
    <s v="Danielle Holt"/>
    <s v="['Potatoes', 'Hair Gel']"/>
    <n v="3"/>
    <n v="49.81"/>
    <x v="3"/>
    <x v="8"/>
    <x v="0"/>
    <b v="1"/>
    <x v="6"/>
    <x v="2"/>
    <x v="0"/>
  </r>
  <r>
    <n v="1000000903"/>
    <x v="903"/>
    <s v="Donna Williams"/>
    <s v="['Rice', 'Jam', 'Sponges']"/>
    <n v="2"/>
    <n v="89.42"/>
    <x v="1"/>
    <x v="5"/>
    <x v="2"/>
    <b v="1"/>
    <x v="2"/>
    <x v="3"/>
    <x v="0"/>
  </r>
  <r>
    <n v="1000000904"/>
    <x v="904"/>
    <s v="Benjamin Wagner"/>
    <s v="['Canned Soup']"/>
    <n v="10"/>
    <n v="52.08"/>
    <x v="0"/>
    <x v="9"/>
    <x v="2"/>
    <b v="1"/>
    <x v="0"/>
    <x v="2"/>
    <x v="2"/>
  </r>
  <r>
    <n v="1000000905"/>
    <x v="905"/>
    <s v="Justin Harris"/>
    <s v="['Eggs', 'Pancake Mix']"/>
    <n v="8"/>
    <n v="65.39"/>
    <x v="2"/>
    <x v="8"/>
    <x v="0"/>
    <b v="1"/>
    <x v="3"/>
    <x v="3"/>
    <x v="0"/>
  </r>
  <r>
    <n v="1000000906"/>
    <x v="906"/>
    <s v="Dawn Yu"/>
    <s v="['Chips', 'Cleaning Spray', 'Insect Repellent', 'Mop']"/>
    <n v="9"/>
    <n v="55.68"/>
    <x v="0"/>
    <x v="6"/>
    <x v="1"/>
    <b v="1"/>
    <x v="7"/>
    <x v="0"/>
    <x v="2"/>
  </r>
  <r>
    <n v="1000000907"/>
    <x v="907"/>
    <s v="Joseph Young"/>
    <s v="['Water', 'Milk', 'Insect Repellent', 'BBQ Sauce', 'Bath Towels']"/>
    <n v="10"/>
    <n v="30.89"/>
    <x v="0"/>
    <x v="6"/>
    <x v="2"/>
    <b v="0"/>
    <x v="7"/>
    <x v="0"/>
    <x v="2"/>
  </r>
  <r>
    <n v="1000000908"/>
    <x v="908"/>
    <s v="Dylan Bradley"/>
    <s v="['Eggs', 'Spinach', 'Dish Soap', 'Pickles']"/>
    <n v="10"/>
    <n v="89.19"/>
    <x v="1"/>
    <x v="3"/>
    <x v="0"/>
    <b v="0"/>
    <x v="5"/>
    <x v="0"/>
    <x v="1"/>
  </r>
  <r>
    <n v="1000000909"/>
    <x v="909"/>
    <s v="Shannon Meyer"/>
    <s v="['Cleaning Spray', 'Butter']"/>
    <n v="3"/>
    <n v="70.489999999999995"/>
    <x v="1"/>
    <x v="2"/>
    <x v="3"/>
    <b v="1"/>
    <x v="6"/>
    <x v="2"/>
    <x v="1"/>
  </r>
  <r>
    <n v="1000000910"/>
    <x v="910"/>
    <s v="Nathan Morris"/>
    <s v="['Apple', 'Bread']"/>
    <n v="6"/>
    <n v="45.08"/>
    <x v="0"/>
    <x v="4"/>
    <x v="1"/>
    <b v="1"/>
    <x v="3"/>
    <x v="0"/>
    <x v="2"/>
  </r>
  <r>
    <n v="1000000911"/>
    <x v="911"/>
    <s v="Steven Anderson"/>
    <s v="['Coffee', 'Cereal', 'Bread', 'Tomatoes']"/>
    <n v="10"/>
    <n v="86.51"/>
    <x v="3"/>
    <x v="2"/>
    <x v="3"/>
    <b v="1"/>
    <x v="3"/>
    <x v="3"/>
    <x v="2"/>
  </r>
  <r>
    <n v="1000000912"/>
    <x v="912"/>
    <s v="Mrs. Isabel Montoya DVM"/>
    <s v="['Carrots']"/>
    <n v="1"/>
    <n v="82"/>
    <x v="2"/>
    <x v="9"/>
    <x v="5"/>
    <b v="1"/>
    <x v="3"/>
    <x v="0"/>
    <x v="1"/>
  </r>
  <r>
    <n v="1000000913"/>
    <x v="913"/>
    <s v="Virginia Tanner"/>
    <s v="['Ice Cream', 'Tissues', 'Spinach', 'Hair Gel', 'Orange']"/>
    <n v="3"/>
    <n v="55.43"/>
    <x v="1"/>
    <x v="7"/>
    <x v="1"/>
    <b v="1"/>
    <x v="3"/>
    <x v="2"/>
    <x v="2"/>
  </r>
  <r>
    <n v="1000000914"/>
    <x v="914"/>
    <s v="Christina Brooks"/>
    <s v="['Pasta', 'Canned Soup']"/>
    <n v="2"/>
    <n v="67.11"/>
    <x v="2"/>
    <x v="0"/>
    <x v="2"/>
    <b v="0"/>
    <x v="7"/>
    <x v="0"/>
    <x v="0"/>
  </r>
  <r>
    <n v="1000000915"/>
    <x v="915"/>
    <s v="Ann Richard"/>
    <s v="['Garden Hose', 'Soap', 'Ironing Board', 'Soap', 'Shower Gel']"/>
    <n v="8"/>
    <n v="99.08"/>
    <x v="1"/>
    <x v="5"/>
    <x v="4"/>
    <b v="0"/>
    <x v="0"/>
    <x v="3"/>
    <x v="1"/>
  </r>
  <r>
    <n v="1000000916"/>
    <x v="916"/>
    <s v="Kevin Snyder"/>
    <s v="['Lawn Mower', 'Soap', 'Shrimp', 'Potatoes']"/>
    <n v="4"/>
    <n v="94.68"/>
    <x v="3"/>
    <x v="2"/>
    <x v="4"/>
    <b v="1"/>
    <x v="6"/>
    <x v="3"/>
    <x v="2"/>
  </r>
  <r>
    <n v="1000000917"/>
    <x v="917"/>
    <s v="Tracy Shelton"/>
    <s v="['Honey', 'Garden Hose', 'Lawn Mower', 'Onions', 'Mop']"/>
    <n v="4"/>
    <n v="97.08"/>
    <x v="3"/>
    <x v="3"/>
    <x v="1"/>
    <b v="1"/>
    <x v="2"/>
    <x v="1"/>
    <x v="0"/>
  </r>
  <r>
    <n v="1000000918"/>
    <x v="918"/>
    <s v="Ethan Ingram"/>
    <s v="['Garden Hose', 'Laundry Detergent']"/>
    <n v="5"/>
    <n v="99.18"/>
    <x v="1"/>
    <x v="5"/>
    <x v="0"/>
    <b v="0"/>
    <x v="3"/>
    <x v="3"/>
    <x v="1"/>
  </r>
  <r>
    <n v="1000000919"/>
    <x v="919"/>
    <s v="Daniel Holland"/>
    <s v="['Milk', 'BBQ Sauce', 'Apple']"/>
    <n v="3"/>
    <n v="70.42"/>
    <x v="1"/>
    <x v="1"/>
    <x v="2"/>
    <b v="1"/>
    <x v="1"/>
    <x v="1"/>
    <x v="2"/>
  </r>
  <r>
    <n v="1000000920"/>
    <x v="920"/>
    <s v="Sydney Henry"/>
    <s v="['Toothpaste', 'Pasta', 'Hair Gel', 'Onions', 'Cleaning Rags']"/>
    <n v="1"/>
    <n v="70.09"/>
    <x v="2"/>
    <x v="6"/>
    <x v="3"/>
    <b v="0"/>
    <x v="7"/>
    <x v="3"/>
    <x v="0"/>
  </r>
  <r>
    <n v="1000000921"/>
    <x v="921"/>
    <s v="Shawn Smith"/>
    <s v="['Spinach', 'Mustard', 'Tuna', 'Bath Towels']"/>
    <n v="9"/>
    <n v="75.790000000000006"/>
    <x v="0"/>
    <x v="3"/>
    <x v="4"/>
    <b v="0"/>
    <x v="3"/>
    <x v="3"/>
    <x v="0"/>
  </r>
  <r>
    <n v="1000000922"/>
    <x v="922"/>
    <s v="Edgar Larsen"/>
    <s v="['Eggs', 'Bath Towels']"/>
    <n v="7"/>
    <n v="79.569999999999993"/>
    <x v="0"/>
    <x v="2"/>
    <x v="3"/>
    <b v="0"/>
    <x v="0"/>
    <x v="0"/>
    <x v="2"/>
  </r>
  <r>
    <n v="1000000923"/>
    <x v="923"/>
    <s v="Jessica Pena"/>
    <s v="['Soda', 'Onions']"/>
    <n v="8"/>
    <n v="95.89"/>
    <x v="2"/>
    <x v="6"/>
    <x v="4"/>
    <b v="0"/>
    <x v="7"/>
    <x v="1"/>
    <x v="0"/>
  </r>
  <r>
    <n v="1000000924"/>
    <x v="924"/>
    <s v="Lawrence Wilson"/>
    <s v="['Extension Cords']"/>
    <n v="7"/>
    <n v="42.52"/>
    <x v="2"/>
    <x v="8"/>
    <x v="3"/>
    <b v="0"/>
    <x v="6"/>
    <x v="2"/>
    <x v="1"/>
  </r>
  <r>
    <n v="1000000925"/>
    <x v="925"/>
    <s v="Teresa Brooks"/>
    <s v="['Soap', 'Air Freshener', 'Spinach']"/>
    <n v="8"/>
    <n v="11.86"/>
    <x v="0"/>
    <x v="8"/>
    <x v="5"/>
    <b v="0"/>
    <x v="3"/>
    <x v="1"/>
    <x v="1"/>
  </r>
  <r>
    <n v="1000000926"/>
    <x v="926"/>
    <s v="Pamela Taylor"/>
    <s v="['Dustpan', 'Hair Gel']"/>
    <n v="4"/>
    <n v="94.91"/>
    <x v="3"/>
    <x v="5"/>
    <x v="3"/>
    <b v="1"/>
    <x v="4"/>
    <x v="3"/>
    <x v="1"/>
  </r>
  <r>
    <n v="1000000927"/>
    <x v="927"/>
    <s v="Jeremy Chambers"/>
    <s v="['Potatoes', 'Canned Soup', 'Banana', 'Pickles']"/>
    <n v="5"/>
    <n v="6.99"/>
    <x v="3"/>
    <x v="2"/>
    <x v="3"/>
    <b v="1"/>
    <x v="7"/>
    <x v="3"/>
    <x v="2"/>
  </r>
  <r>
    <n v="1000000928"/>
    <x v="928"/>
    <s v="Emily King"/>
    <s v="['Iron', 'Pickles']"/>
    <n v="6"/>
    <n v="15.97"/>
    <x v="0"/>
    <x v="7"/>
    <x v="1"/>
    <b v="1"/>
    <x v="1"/>
    <x v="0"/>
    <x v="0"/>
  </r>
  <r>
    <n v="1000000929"/>
    <x v="929"/>
    <s v="Shane Campbell"/>
    <s v="['Onions']"/>
    <n v="9"/>
    <n v="84.91"/>
    <x v="1"/>
    <x v="8"/>
    <x v="4"/>
    <b v="1"/>
    <x v="1"/>
    <x v="1"/>
    <x v="2"/>
  </r>
  <r>
    <n v="1000000930"/>
    <x v="930"/>
    <s v="Robert Oneill"/>
    <s v="['Insect Repellent', 'Lawn Mower', 'Dish Soap', 'Beef', 'Jam']"/>
    <n v="3"/>
    <n v="60.99"/>
    <x v="2"/>
    <x v="3"/>
    <x v="1"/>
    <b v="1"/>
    <x v="7"/>
    <x v="0"/>
    <x v="2"/>
  </r>
  <r>
    <n v="1000000931"/>
    <x v="931"/>
    <s v="Jose Kelly"/>
    <s v="['Broom', 'Lawn Mower', 'Pancake Mix']"/>
    <n v="4"/>
    <n v="61.11"/>
    <x v="0"/>
    <x v="2"/>
    <x v="4"/>
    <b v="1"/>
    <x v="5"/>
    <x v="1"/>
    <x v="0"/>
  </r>
  <r>
    <n v="1000000932"/>
    <x v="932"/>
    <s v="Rachel Reyes"/>
    <s v="['Pickles', 'Cheese', 'Shaving Cream']"/>
    <n v="2"/>
    <n v="33.869999999999997"/>
    <x v="1"/>
    <x v="0"/>
    <x v="3"/>
    <b v="1"/>
    <x v="2"/>
    <x v="0"/>
    <x v="0"/>
  </r>
  <r>
    <n v="1000000933"/>
    <x v="933"/>
    <s v="Elizabeth Davis"/>
    <s v="['Razors', 'Light Bulbs', 'Eggs', 'Carrots', 'Salmon']"/>
    <n v="2"/>
    <n v="72.06"/>
    <x v="1"/>
    <x v="1"/>
    <x v="1"/>
    <b v="1"/>
    <x v="0"/>
    <x v="3"/>
    <x v="2"/>
  </r>
  <r>
    <n v="1000000934"/>
    <x v="934"/>
    <s v="Victor Frank"/>
    <s v="['Garden Hose', 'Cereal', 'Jam', 'Baby Wipes']"/>
    <n v="10"/>
    <n v="6.24"/>
    <x v="0"/>
    <x v="1"/>
    <x v="0"/>
    <b v="1"/>
    <x v="5"/>
    <x v="3"/>
    <x v="1"/>
  </r>
  <r>
    <n v="1000000935"/>
    <x v="935"/>
    <s v="Andrew Stafford"/>
    <s v="['Honey', 'Salmon', 'Carrots']"/>
    <n v="10"/>
    <n v="9.0299999999999994"/>
    <x v="2"/>
    <x v="3"/>
    <x v="2"/>
    <b v="0"/>
    <x v="0"/>
    <x v="1"/>
    <x v="2"/>
  </r>
  <r>
    <n v="1000000936"/>
    <x v="936"/>
    <s v="Cheryl Kelley"/>
    <s v="['Shrimp']"/>
    <n v="10"/>
    <n v="97.84"/>
    <x v="1"/>
    <x v="6"/>
    <x v="1"/>
    <b v="1"/>
    <x v="5"/>
    <x v="2"/>
    <x v="0"/>
  </r>
  <r>
    <n v="1000000937"/>
    <x v="937"/>
    <s v="Thomas Bishop"/>
    <s v="['Pancake Mix', 'Peanut Butter', 'Tea', 'Insect Repellent']"/>
    <n v="10"/>
    <n v="53.36"/>
    <x v="3"/>
    <x v="7"/>
    <x v="0"/>
    <b v="1"/>
    <x v="4"/>
    <x v="1"/>
    <x v="1"/>
  </r>
  <r>
    <n v="1000000938"/>
    <x v="938"/>
    <s v="Amy Lawson MD"/>
    <s v="['Power Strips', 'Butter', 'BBQ Sauce', 'Rice']"/>
    <n v="1"/>
    <n v="51.07"/>
    <x v="1"/>
    <x v="2"/>
    <x v="5"/>
    <b v="1"/>
    <x v="7"/>
    <x v="0"/>
    <x v="2"/>
  </r>
  <r>
    <n v="1000000939"/>
    <x v="939"/>
    <s v="Brian Castro"/>
    <s v="['Olive Oil', 'Dishware', 'Eggs']"/>
    <n v="8"/>
    <n v="36.08"/>
    <x v="1"/>
    <x v="0"/>
    <x v="1"/>
    <b v="0"/>
    <x v="5"/>
    <x v="1"/>
    <x v="0"/>
  </r>
  <r>
    <n v="1000000940"/>
    <x v="940"/>
    <s v="Jennifer Brock"/>
    <s v="['Peanut Butter']"/>
    <n v="5"/>
    <n v="79.69"/>
    <x v="3"/>
    <x v="0"/>
    <x v="5"/>
    <b v="1"/>
    <x v="1"/>
    <x v="0"/>
    <x v="2"/>
  </r>
  <r>
    <n v="1000000941"/>
    <x v="941"/>
    <s v="Kimberly Holden"/>
    <s v="['Hand Sanitizer', 'Shampoo']"/>
    <n v="4"/>
    <n v="59.33"/>
    <x v="0"/>
    <x v="0"/>
    <x v="0"/>
    <b v="0"/>
    <x v="3"/>
    <x v="1"/>
    <x v="1"/>
  </r>
  <r>
    <n v="1000000942"/>
    <x v="942"/>
    <s v="Jill Allen"/>
    <s v="['Water', 'Chips', 'Trash Cans']"/>
    <n v="8"/>
    <n v="39.57"/>
    <x v="3"/>
    <x v="9"/>
    <x v="0"/>
    <b v="0"/>
    <x v="4"/>
    <x v="2"/>
    <x v="2"/>
  </r>
  <r>
    <n v="1000000943"/>
    <x v="943"/>
    <s v="Patricia Rowe"/>
    <s v="['Bread', 'Olive Oil', 'Paper Towels', 'Banana', 'Mop']"/>
    <n v="4"/>
    <n v="70.45"/>
    <x v="0"/>
    <x v="4"/>
    <x v="0"/>
    <b v="1"/>
    <x v="0"/>
    <x v="2"/>
    <x v="0"/>
  </r>
  <r>
    <n v="1000000944"/>
    <x v="944"/>
    <s v="David Johnson"/>
    <s v="['Coffee', 'Power Strips']"/>
    <n v="5"/>
    <n v="17.2"/>
    <x v="3"/>
    <x v="0"/>
    <x v="1"/>
    <b v="1"/>
    <x v="5"/>
    <x v="1"/>
    <x v="2"/>
  </r>
  <r>
    <n v="1000000945"/>
    <x v="945"/>
    <s v="Steven Guerrero"/>
    <s v="['Cereal Bars', 'Dishware', 'Coffee']"/>
    <n v="3"/>
    <n v="79.34"/>
    <x v="2"/>
    <x v="7"/>
    <x v="1"/>
    <b v="1"/>
    <x v="7"/>
    <x v="2"/>
    <x v="0"/>
  </r>
  <r>
    <n v="1000000946"/>
    <x v="946"/>
    <s v="Krista Harris"/>
    <s v="['Tuna', 'Salmon', 'Salmon']"/>
    <n v="4"/>
    <n v="37.42"/>
    <x v="2"/>
    <x v="7"/>
    <x v="1"/>
    <b v="0"/>
    <x v="7"/>
    <x v="2"/>
    <x v="1"/>
  </r>
  <r>
    <n v="1000000947"/>
    <x v="947"/>
    <s v="Julie Lindsey"/>
    <s v="['Razors', 'Chips', 'Plant Fertilizer', 'Extension Cords', 'Honey']"/>
    <n v="7"/>
    <n v="54.78"/>
    <x v="1"/>
    <x v="0"/>
    <x v="4"/>
    <b v="1"/>
    <x v="6"/>
    <x v="1"/>
    <x v="0"/>
  </r>
  <r>
    <n v="1000000948"/>
    <x v="948"/>
    <s v="Angel Johnson"/>
    <s v="['Baby Wipes', 'Carrots', 'Butter', 'Dishware', 'Toilet Paper']"/>
    <n v="10"/>
    <n v="21.99"/>
    <x v="2"/>
    <x v="0"/>
    <x v="1"/>
    <b v="1"/>
    <x v="0"/>
    <x v="3"/>
    <x v="2"/>
  </r>
  <r>
    <n v="1000000949"/>
    <x v="949"/>
    <s v="Charles Taylor"/>
    <s v="['Eggs', 'Tomatoes', 'Rice', 'Shampoo']"/>
    <n v="3"/>
    <n v="85.85"/>
    <x v="2"/>
    <x v="8"/>
    <x v="4"/>
    <b v="1"/>
    <x v="6"/>
    <x v="2"/>
    <x v="2"/>
  </r>
  <r>
    <n v="1000000950"/>
    <x v="950"/>
    <s v="Stephanie Smith"/>
    <s v="['Rice', 'Feminine Hygiene Products']"/>
    <n v="7"/>
    <n v="9.5500000000000007"/>
    <x v="0"/>
    <x v="2"/>
    <x v="4"/>
    <b v="1"/>
    <x v="1"/>
    <x v="1"/>
    <x v="0"/>
  </r>
  <r>
    <n v="1000000951"/>
    <x v="951"/>
    <s v="Darrell Saunders"/>
    <s v="['Toothpaste']"/>
    <n v="10"/>
    <n v="76.89"/>
    <x v="2"/>
    <x v="1"/>
    <x v="2"/>
    <b v="1"/>
    <x v="1"/>
    <x v="0"/>
    <x v="0"/>
  </r>
  <r>
    <n v="1000000952"/>
    <x v="952"/>
    <s v="Brent Brown"/>
    <s v="['Chips', 'Garden Hose', 'Dishware']"/>
    <n v="5"/>
    <n v="7.19"/>
    <x v="1"/>
    <x v="7"/>
    <x v="2"/>
    <b v="0"/>
    <x v="5"/>
    <x v="2"/>
    <x v="0"/>
  </r>
  <r>
    <n v="1000000953"/>
    <x v="953"/>
    <s v="Stephanie Tran"/>
    <s v="['Sponges', 'Butter']"/>
    <n v="6"/>
    <n v="5.34"/>
    <x v="0"/>
    <x v="1"/>
    <x v="5"/>
    <b v="0"/>
    <x v="7"/>
    <x v="1"/>
    <x v="0"/>
  </r>
  <r>
    <n v="1000000954"/>
    <x v="954"/>
    <s v="Christopher Harris"/>
    <s v="['Dustpan', 'Rice', 'Deodorant', 'Carrots', 'Paper Towels']"/>
    <n v="6"/>
    <n v="38.28"/>
    <x v="0"/>
    <x v="6"/>
    <x v="4"/>
    <b v="0"/>
    <x v="2"/>
    <x v="2"/>
    <x v="2"/>
  </r>
  <r>
    <n v="1000000955"/>
    <x v="955"/>
    <s v="Rose Williams"/>
    <s v="['Light Bulbs', 'Sponges', 'Salmon']"/>
    <n v="2"/>
    <n v="80.83"/>
    <x v="1"/>
    <x v="6"/>
    <x v="0"/>
    <b v="1"/>
    <x v="0"/>
    <x v="0"/>
    <x v="0"/>
  </r>
  <r>
    <n v="1000000956"/>
    <x v="956"/>
    <s v="Ryan Owens"/>
    <s v="['Shaving Cream', 'Shampoo', 'Lawn Mower', 'Light Bulbs', 'Air Freshener']"/>
    <n v="1"/>
    <n v="56.75"/>
    <x v="3"/>
    <x v="0"/>
    <x v="5"/>
    <b v="1"/>
    <x v="5"/>
    <x v="3"/>
    <x v="0"/>
  </r>
  <r>
    <n v="1000000957"/>
    <x v="957"/>
    <s v="Joan Watson"/>
    <s v="['Onions', 'Spinach', 'Hair Gel', 'BBQ Sauce']"/>
    <n v="7"/>
    <n v="7.55"/>
    <x v="1"/>
    <x v="6"/>
    <x v="0"/>
    <b v="1"/>
    <x v="7"/>
    <x v="1"/>
    <x v="0"/>
  </r>
  <r>
    <n v="1000000958"/>
    <x v="958"/>
    <s v="Melissa Hernandez"/>
    <s v="['Ice Cream']"/>
    <n v="6"/>
    <n v="8.02"/>
    <x v="3"/>
    <x v="3"/>
    <x v="5"/>
    <b v="0"/>
    <x v="5"/>
    <x v="3"/>
    <x v="0"/>
  </r>
  <r>
    <n v="1000000959"/>
    <x v="959"/>
    <s v="Brandy Hutchinson"/>
    <s v="['Vinegar', 'Shower Gel', 'Insect Repellent']"/>
    <n v="7"/>
    <n v="85.76"/>
    <x v="2"/>
    <x v="2"/>
    <x v="5"/>
    <b v="0"/>
    <x v="4"/>
    <x v="3"/>
    <x v="0"/>
  </r>
  <r>
    <n v="1000000960"/>
    <x v="960"/>
    <s v="Roger Holloway"/>
    <s v="['Ice Cream', 'BBQ Sauce', 'Pickles', 'Dustpan']"/>
    <n v="5"/>
    <n v="32.94"/>
    <x v="3"/>
    <x v="0"/>
    <x v="5"/>
    <b v="0"/>
    <x v="1"/>
    <x v="0"/>
    <x v="1"/>
  </r>
  <r>
    <n v="1000000961"/>
    <x v="961"/>
    <s v="Wayne French DVM"/>
    <s v="['Power Strips', 'Milk']"/>
    <n v="3"/>
    <n v="71.83"/>
    <x v="2"/>
    <x v="2"/>
    <x v="5"/>
    <b v="0"/>
    <x v="0"/>
    <x v="1"/>
    <x v="0"/>
  </r>
  <r>
    <n v="1000000962"/>
    <x v="962"/>
    <s v="Michael Martinez"/>
    <s v="['Lawn Mower', 'Toilet Paper', 'Deodorant', 'Air Freshener', 'Ironing Board']"/>
    <n v="6"/>
    <n v="98.51"/>
    <x v="0"/>
    <x v="1"/>
    <x v="5"/>
    <b v="1"/>
    <x v="2"/>
    <x v="2"/>
    <x v="2"/>
  </r>
  <r>
    <n v="1000000963"/>
    <x v="963"/>
    <s v="Adam Hall"/>
    <s v="['Cereal', 'Milk', 'Yogurt', 'Coffee', 'Light Bulbs']"/>
    <n v="6"/>
    <n v="22.06"/>
    <x v="2"/>
    <x v="1"/>
    <x v="2"/>
    <b v="0"/>
    <x v="0"/>
    <x v="2"/>
    <x v="1"/>
  </r>
  <r>
    <n v="1000000964"/>
    <x v="964"/>
    <s v="Anthony Valenzuela"/>
    <s v="['Dish Soap', 'Salmon', 'Hand Sanitizer', 'Tuna', 'Syrup']"/>
    <n v="6"/>
    <n v="47.66"/>
    <x v="2"/>
    <x v="0"/>
    <x v="1"/>
    <b v="1"/>
    <x v="3"/>
    <x v="3"/>
    <x v="2"/>
  </r>
  <r>
    <n v="1000000965"/>
    <x v="965"/>
    <s v="Samantha Nguyen"/>
    <s v="['Bath Towels', 'Ice Cream', 'Honey', 'Chips']"/>
    <n v="2"/>
    <n v="10.039999999999999"/>
    <x v="0"/>
    <x v="8"/>
    <x v="0"/>
    <b v="0"/>
    <x v="7"/>
    <x v="2"/>
    <x v="2"/>
  </r>
  <r>
    <n v="1000000966"/>
    <x v="966"/>
    <s v="Kara Fuller"/>
    <s v="['Mop', 'Iron', 'Ice Cream']"/>
    <n v="7"/>
    <n v="65.680000000000007"/>
    <x v="3"/>
    <x v="0"/>
    <x v="5"/>
    <b v="1"/>
    <x v="6"/>
    <x v="0"/>
    <x v="0"/>
  </r>
  <r>
    <n v="1000000967"/>
    <x v="967"/>
    <s v="Sara Rivers"/>
    <s v="['Toothpaste', 'Cleaning Spray', 'Jam', 'Air Freshener', 'Insect Repellent']"/>
    <n v="8"/>
    <n v="82.8"/>
    <x v="2"/>
    <x v="9"/>
    <x v="4"/>
    <b v="0"/>
    <x v="0"/>
    <x v="0"/>
    <x v="0"/>
  </r>
  <r>
    <n v="1000000968"/>
    <x v="968"/>
    <s v="Shelby Allen MD"/>
    <s v="['Syrup']"/>
    <n v="10"/>
    <n v="68.510000000000005"/>
    <x v="2"/>
    <x v="6"/>
    <x v="5"/>
    <b v="0"/>
    <x v="2"/>
    <x v="3"/>
    <x v="0"/>
  </r>
  <r>
    <n v="1000000969"/>
    <x v="969"/>
    <s v="Ronald Chandler"/>
    <s v="['Vinegar', 'Vinegar', 'Mop', 'Iron']"/>
    <n v="4"/>
    <n v="73.349999999999994"/>
    <x v="3"/>
    <x v="9"/>
    <x v="5"/>
    <b v="0"/>
    <x v="5"/>
    <x v="0"/>
    <x v="2"/>
  </r>
  <r>
    <n v="1000000970"/>
    <x v="970"/>
    <s v="Brenda Black"/>
    <s v="['Toothpaste']"/>
    <n v="2"/>
    <n v="13.74"/>
    <x v="0"/>
    <x v="0"/>
    <x v="3"/>
    <b v="1"/>
    <x v="4"/>
    <x v="2"/>
    <x v="1"/>
  </r>
  <r>
    <n v="1000000971"/>
    <x v="971"/>
    <s v="Matthew Davis"/>
    <s v="['Tissues', 'Carrots', 'Light Bulbs']"/>
    <n v="1"/>
    <n v="39.47"/>
    <x v="2"/>
    <x v="9"/>
    <x v="5"/>
    <b v="0"/>
    <x v="1"/>
    <x v="2"/>
    <x v="1"/>
  </r>
  <r>
    <n v="1000000972"/>
    <x v="972"/>
    <s v="Carl Thomas"/>
    <s v="['Extension Cords', 'Garden Hose', 'Light Bulbs', 'Ketchup', 'Paper Towels']"/>
    <n v="8"/>
    <n v="15.12"/>
    <x v="3"/>
    <x v="2"/>
    <x v="1"/>
    <b v="1"/>
    <x v="3"/>
    <x v="2"/>
    <x v="0"/>
  </r>
  <r>
    <n v="1000000973"/>
    <x v="973"/>
    <s v="Randy Allen"/>
    <s v="['Apple', 'Mayonnaise', 'Coffee', 'Tuna', 'Syrup']"/>
    <n v="8"/>
    <n v="97.75"/>
    <x v="1"/>
    <x v="7"/>
    <x v="3"/>
    <b v="0"/>
    <x v="2"/>
    <x v="1"/>
    <x v="2"/>
  </r>
  <r>
    <n v="1000000974"/>
    <x v="974"/>
    <s v="Alex King"/>
    <s v="['Bread']"/>
    <n v="9"/>
    <n v="42.6"/>
    <x v="0"/>
    <x v="7"/>
    <x v="3"/>
    <b v="1"/>
    <x v="1"/>
    <x v="3"/>
    <x v="1"/>
  </r>
  <r>
    <n v="1000000975"/>
    <x v="975"/>
    <s v="Diane Garcia"/>
    <s v="['Rice', 'Toothbrush', 'Sponges', 'Cheese']"/>
    <n v="4"/>
    <n v="73.27"/>
    <x v="3"/>
    <x v="6"/>
    <x v="3"/>
    <b v="0"/>
    <x v="6"/>
    <x v="1"/>
    <x v="0"/>
  </r>
  <r>
    <n v="1000000976"/>
    <x v="976"/>
    <s v="Thomas Vance"/>
    <s v="['Shampoo', 'Trash Bags', 'Pasta']"/>
    <n v="5"/>
    <n v="49.34"/>
    <x v="1"/>
    <x v="1"/>
    <x v="2"/>
    <b v="1"/>
    <x v="2"/>
    <x v="2"/>
    <x v="2"/>
  </r>
  <r>
    <n v="1000000977"/>
    <x v="977"/>
    <s v="Shane Davis"/>
    <s v="['Shaving Cream', 'Apple', 'Mayonnaise']"/>
    <n v="4"/>
    <n v="35.75"/>
    <x v="2"/>
    <x v="3"/>
    <x v="1"/>
    <b v="0"/>
    <x v="1"/>
    <x v="1"/>
    <x v="1"/>
  </r>
  <r>
    <n v="1000000978"/>
    <x v="978"/>
    <s v="Debra Anderson"/>
    <s v="['Pancake Mix', 'Bath Towels', 'Paper Towels']"/>
    <n v="6"/>
    <n v="90.14"/>
    <x v="0"/>
    <x v="4"/>
    <x v="5"/>
    <b v="1"/>
    <x v="3"/>
    <x v="3"/>
    <x v="0"/>
  </r>
  <r>
    <n v="1000000979"/>
    <x v="979"/>
    <s v="Derrick Beck"/>
    <s v="['Shrimp', 'Potatoes', 'Water', 'Coffee']"/>
    <n v="3"/>
    <n v="35.24"/>
    <x v="3"/>
    <x v="8"/>
    <x v="3"/>
    <b v="0"/>
    <x v="2"/>
    <x v="2"/>
    <x v="1"/>
  </r>
  <r>
    <n v="1000000980"/>
    <x v="980"/>
    <s v="Daisy Weaver"/>
    <s v="['Baby Wipes']"/>
    <n v="8"/>
    <n v="87.47"/>
    <x v="3"/>
    <x v="0"/>
    <x v="2"/>
    <b v="0"/>
    <x v="4"/>
    <x v="0"/>
    <x v="0"/>
  </r>
  <r>
    <n v="1000000981"/>
    <x v="981"/>
    <s v="Rebecca Jones"/>
    <s v="['Paper Towels']"/>
    <n v="1"/>
    <n v="31.39"/>
    <x v="0"/>
    <x v="0"/>
    <x v="1"/>
    <b v="0"/>
    <x v="6"/>
    <x v="2"/>
    <x v="0"/>
  </r>
  <r>
    <n v="1000000982"/>
    <x v="982"/>
    <s v="Jordan Mcdaniel"/>
    <s v="['Insect Repellent', 'Rice']"/>
    <n v="9"/>
    <n v="16.420000000000002"/>
    <x v="2"/>
    <x v="1"/>
    <x v="3"/>
    <b v="1"/>
    <x v="4"/>
    <x v="1"/>
    <x v="1"/>
  </r>
  <r>
    <n v="1000000983"/>
    <x v="983"/>
    <s v="Jennifer Nicholson"/>
    <s v="['Toothpaste', 'Tuna', 'Insect Repellent', 'Shrimp']"/>
    <n v="4"/>
    <n v="35.700000000000003"/>
    <x v="3"/>
    <x v="1"/>
    <x v="1"/>
    <b v="1"/>
    <x v="7"/>
    <x v="0"/>
    <x v="1"/>
  </r>
  <r>
    <n v="1000000984"/>
    <x v="984"/>
    <s v="Taylor Anderson"/>
    <s v="['BBQ Sauce']"/>
    <n v="10"/>
    <n v="22.81"/>
    <x v="0"/>
    <x v="1"/>
    <x v="2"/>
    <b v="0"/>
    <x v="5"/>
    <x v="0"/>
    <x v="2"/>
  </r>
  <r>
    <n v="1000000985"/>
    <x v="985"/>
    <s v="James Hartman"/>
    <s v="['Cleaning Rags', 'Beef']"/>
    <n v="1"/>
    <n v="80.06"/>
    <x v="1"/>
    <x v="8"/>
    <x v="1"/>
    <b v="0"/>
    <x v="2"/>
    <x v="3"/>
    <x v="0"/>
  </r>
  <r>
    <n v="1000000986"/>
    <x v="986"/>
    <s v="Christine Brown"/>
    <s v="['Yogurt', 'Baby Wipes']"/>
    <n v="1"/>
    <n v="91.37"/>
    <x v="2"/>
    <x v="4"/>
    <x v="2"/>
    <b v="1"/>
    <x v="3"/>
    <x v="3"/>
    <x v="2"/>
  </r>
  <r>
    <n v="1000000987"/>
    <x v="987"/>
    <s v="Brooke Lawrence"/>
    <s v="['Toothpaste', 'Mop']"/>
    <n v="2"/>
    <n v="15.24"/>
    <x v="2"/>
    <x v="7"/>
    <x v="0"/>
    <b v="0"/>
    <x v="7"/>
    <x v="0"/>
    <x v="1"/>
  </r>
  <r>
    <n v="1000000988"/>
    <x v="988"/>
    <s v="Diane Scott"/>
    <s v="['Toothpaste', 'Diapers']"/>
    <n v="1"/>
    <n v="87.57"/>
    <x v="3"/>
    <x v="3"/>
    <x v="4"/>
    <b v="0"/>
    <x v="0"/>
    <x v="1"/>
    <x v="2"/>
  </r>
  <r>
    <n v="1000000989"/>
    <x v="989"/>
    <s v="Barbara Allen"/>
    <s v="['Onions', 'Light Bulbs', 'Jam']"/>
    <n v="9"/>
    <n v="17.11"/>
    <x v="3"/>
    <x v="2"/>
    <x v="4"/>
    <b v="0"/>
    <x v="3"/>
    <x v="1"/>
    <x v="1"/>
  </r>
  <r>
    <n v="1000000990"/>
    <x v="990"/>
    <s v="Wendy White"/>
    <s v="['Vinegar', 'Eggs', 'Diapers']"/>
    <n v="7"/>
    <n v="10.43"/>
    <x v="3"/>
    <x v="1"/>
    <x v="2"/>
    <b v="1"/>
    <x v="6"/>
    <x v="3"/>
    <x v="0"/>
  </r>
  <r>
    <n v="1000000991"/>
    <x v="991"/>
    <s v="Mrs. Stephanie Spencer"/>
    <s v="['Baby Wipes', 'Butter', 'Lawn Mower', 'Toilet Paper']"/>
    <n v="10"/>
    <n v="61.89"/>
    <x v="1"/>
    <x v="7"/>
    <x v="0"/>
    <b v="1"/>
    <x v="4"/>
    <x v="0"/>
    <x v="2"/>
  </r>
  <r>
    <n v="1000000992"/>
    <x v="992"/>
    <s v="Sheri Lyons"/>
    <s v="['Tuna']"/>
    <n v="7"/>
    <n v="98.9"/>
    <x v="2"/>
    <x v="7"/>
    <x v="1"/>
    <b v="0"/>
    <x v="0"/>
    <x v="3"/>
    <x v="0"/>
  </r>
  <r>
    <n v="1000000993"/>
    <x v="993"/>
    <s v="Jessica James"/>
    <s v="['Coffee', 'Coffee']"/>
    <n v="9"/>
    <n v="91.61"/>
    <x v="1"/>
    <x v="9"/>
    <x v="2"/>
    <b v="0"/>
    <x v="1"/>
    <x v="3"/>
    <x v="1"/>
  </r>
  <r>
    <n v="1000000994"/>
    <x v="994"/>
    <s v="Heather Mills"/>
    <s v="['Mustard', 'Paper Towels', 'Toilet Paper', 'Insect Repellent', 'Soap']"/>
    <n v="10"/>
    <n v="28.09"/>
    <x v="0"/>
    <x v="4"/>
    <x v="2"/>
    <b v="1"/>
    <x v="5"/>
    <x v="2"/>
    <x v="2"/>
  </r>
  <r>
    <n v="1000000995"/>
    <x v="995"/>
    <s v="Kenneth Barnes"/>
    <s v="['Butter', 'Mayonnaise', 'Tea']"/>
    <n v="5"/>
    <n v="16.32"/>
    <x v="1"/>
    <x v="6"/>
    <x v="4"/>
    <b v="0"/>
    <x v="0"/>
    <x v="2"/>
    <x v="1"/>
  </r>
  <r>
    <n v="1000000996"/>
    <x v="996"/>
    <s v="Michael Stein"/>
    <s v="['Insect Repellent']"/>
    <n v="5"/>
    <n v="11.86"/>
    <x v="2"/>
    <x v="8"/>
    <x v="3"/>
    <b v="0"/>
    <x v="0"/>
    <x v="0"/>
    <x v="0"/>
  </r>
  <r>
    <n v="1000000997"/>
    <x v="997"/>
    <s v="Jesse Lewis"/>
    <s v="['Hair Gel', 'Yogurt']"/>
    <n v="4"/>
    <n v="14.77"/>
    <x v="0"/>
    <x v="0"/>
    <x v="5"/>
    <b v="0"/>
    <x v="6"/>
    <x v="3"/>
    <x v="1"/>
  </r>
  <r>
    <n v="1000000998"/>
    <x v="998"/>
    <s v="Jenny Larson"/>
    <s v="['Cleaning Rags', 'Cleaning Rags', 'Razors', 'Plant Fertilizer']"/>
    <n v="4"/>
    <n v="77.62"/>
    <x v="3"/>
    <x v="4"/>
    <x v="0"/>
    <b v="0"/>
    <x v="1"/>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F3ACC2-6DA0-413F-AD32-8D6EA330563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6">
    <pivotField showAll="0"/>
    <pivotField numFmtId="22" showAll="0">
      <items count="1000">
        <item x="267"/>
        <item x="23"/>
        <item x="215"/>
        <item x="726"/>
        <item x="437"/>
        <item x="311"/>
        <item x="941"/>
        <item x="754"/>
        <item x="544"/>
        <item x="706"/>
        <item x="508"/>
        <item x="466"/>
        <item x="100"/>
        <item x="462"/>
        <item x="430"/>
        <item x="899"/>
        <item x="651"/>
        <item x="769"/>
        <item x="639"/>
        <item x="839"/>
        <item x="597"/>
        <item x="553"/>
        <item x="594"/>
        <item x="330"/>
        <item x="103"/>
        <item x="191"/>
        <item x="444"/>
        <item x="554"/>
        <item x="25"/>
        <item x="973"/>
        <item x="641"/>
        <item x="227"/>
        <item x="690"/>
        <item x="985"/>
        <item x="29"/>
        <item x="464"/>
        <item x="587"/>
        <item x="280"/>
        <item x="202"/>
        <item x="783"/>
        <item x="861"/>
        <item x="474"/>
        <item x="453"/>
        <item x="243"/>
        <item x="295"/>
        <item x="770"/>
        <item x="74"/>
        <item x="895"/>
        <item x="381"/>
        <item x="627"/>
        <item x="745"/>
        <item x="10"/>
        <item x="502"/>
        <item x="364"/>
        <item x="692"/>
        <item x="965"/>
        <item x="346"/>
        <item x="27"/>
        <item x="603"/>
        <item x="185"/>
        <item x="894"/>
        <item x="67"/>
        <item x="664"/>
        <item x="403"/>
        <item x="580"/>
        <item x="543"/>
        <item x="14"/>
        <item x="924"/>
        <item x="566"/>
        <item x="811"/>
        <item x="916"/>
        <item x="798"/>
        <item x="155"/>
        <item x="821"/>
        <item x="850"/>
        <item x="242"/>
        <item x="631"/>
        <item x="681"/>
        <item x="814"/>
        <item x="88"/>
        <item x="666"/>
        <item x="410"/>
        <item x="832"/>
        <item x="761"/>
        <item x="342"/>
        <item x="718"/>
        <item x="135"/>
        <item x="561"/>
        <item x="921"/>
        <item x="810"/>
        <item x="52"/>
        <item x="71"/>
        <item x="507"/>
        <item x="573"/>
        <item x="80"/>
        <item x="883"/>
        <item x="738"/>
        <item x="685"/>
        <item x="576"/>
        <item x="922"/>
        <item x="459"/>
        <item x="743"/>
        <item x="283"/>
        <item x="37"/>
        <item x="935"/>
        <item x="263"/>
        <item x="290"/>
        <item x="801"/>
        <item x="424"/>
        <item x="302"/>
        <item x="969"/>
        <item x="744"/>
        <item x="923"/>
        <item x="347"/>
        <item x="438"/>
        <item x="642"/>
        <item x="487"/>
        <item x="892"/>
        <item x="948"/>
        <item x="316"/>
        <item x="378"/>
        <item x="168"/>
        <item x="59"/>
        <item x="384"/>
        <item x="326"/>
        <item x="482"/>
        <item x="694"/>
        <item x="712"/>
        <item x="730"/>
        <item x="971"/>
        <item x="817"/>
        <item x="38"/>
        <item x="840"/>
        <item x="411"/>
        <item x="542"/>
        <item x="844"/>
        <item x="194"/>
        <item x="509"/>
        <item x="721"/>
        <item x="152"/>
        <item x="99"/>
        <item x="516"/>
        <item x="297"/>
        <item x="723"/>
        <item x="645"/>
        <item x="731"/>
        <item x="531"/>
        <item x="402"/>
        <item x="903"/>
        <item x="371"/>
        <item x="163"/>
        <item x="792"/>
        <item x="362"/>
        <item x="764"/>
        <item x="773"/>
        <item x="505"/>
        <item x="510"/>
        <item x="122"/>
        <item x="757"/>
        <item x="426"/>
        <item x="640"/>
        <item x="862"/>
        <item x="625"/>
        <item x="842"/>
        <item x="563"/>
        <item x="7"/>
        <item x="796"/>
        <item x="401"/>
        <item x="981"/>
        <item x="293"/>
        <item x="83"/>
        <item x="389"/>
        <item x="281"/>
        <item x="917"/>
        <item x="619"/>
        <item x="70"/>
        <item x="26"/>
        <item x="86"/>
        <item x="150"/>
        <item x="407"/>
        <item x="843"/>
        <item x="946"/>
        <item x="790"/>
        <item x="212"/>
        <item x="339"/>
        <item x="344"/>
        <item x="317"/>
        <item x="886"/>
        <item x="994"/>
        <item x="224"/>
        <item x="729"/>
        <item x="382"/>
        <item x="836"/>
        <item x="43"/>
        <item x="855"/>
        <item x="193"/>
        <item x="987"/>
        <item x="36"/>
        <item x="534"/>
        <item x="167"/>
        <item x="755"/>
        <item x="481"/>
        <item x="454"/>
        <item x="134"/>
        <item x="85"/>
        <item x="129"/>
        <item x="396"/>
        <item x="3"/>
        <item x="807"/>
        <item x="219"/>
        <item x="604"/>
        <item x="173"/>
        <item x="292"/>
        <item x="512"/>
        <item x="348"/>
        <item x="860"/>
        <item x="716"/>
        <item x="739"/>
        <item x="182"/>
        <item x="647"/>
        <item x="408"/>
        <item x="269"/>
        <item x="497"/>
        <item x="248"/>
        <item x="772"/>
        <item x="970"/>
        <item x="312"/>
        <item x="181"/>
        <item x="435"/>
        <item x="355"/>
        <item x="140"/>
        <item x="4"/>
        <item x="343"/>
        <item x="768"/>
        <item x="753"/>
        <item x="622"/>
        <item x="253"/>
        <item x="565"/>
        <item x="976"/>
        <item x="501"/>
        <item x="373"/>
        <item x="914"/>
        <item x="417"/>
        <item x="526"/>
        <item x="53"/>
        <item x="15"/>
        <item x="251"/>
        <item x="470"/>
        <item x="117"/>
        <item x="78"/>
        <item x="698"/>
        <item x="282"/>
        <item x="532"/>
        <item x="683"/>
        <item x="816"/>
        <item x="198"/>
        <item x="996"/>
        <item x="320"/>
        <item x="674"/>
        <item x="644"/>
        <item x="601"/>
        <item x="19"/>
        <item x="610"/>
        <item x="591"/>
        <item x="222"/>
        <item x="307"/>
        <item x="515"/>
        <item x="659"/>
        <item x="679"/>
        <item x="728"/>
        <item x="737"/>
        <item x="851"/>
        <item x="397"/>
        <item x="600"/>
        <item x="228"/>
        <item x="719"/>
        <item x="303"/>
        <item x="868"/>
        <item x="136"/>
        <item x="825"/>
        <item x="911"/>
        <item x="592"/>
        <item x="540"/>
        <item x="333"/>
        <item x="568"/>
        <item x="528"/>
        <item x="693"/>
        <item x="488"/>
        <item x="813"/>
        <item x="101"/>
        <item x="835"/>
        <item x="560"/>
        <item x="278"/>
        <item x="147"/>
        <item x="400"/>
        <item x="823"/>
        <item x="463"/>
        <item x="995"/>
        <item x="89"/>
        <item x="279"/>
        <item x="815"/>
        <item x="919"/>
        <item x="876"/>
        <item x="189"/>
        <item x="386"/>
        <item x="477"/>
        <item x="8"/>
        <item x="575"/>
        <item x="800"/>
        <item x="138"/>
        <item x="890"/>
        <item x="207"/>
        <item x="94"/>
        <item x="50"/>
        <item x="149"/>
        <item x="880"/>
        <item x="289"/>
        <item x="724"/>
        <item x="616"/>
        <item x="249"/>
        <item x="776"/>
        <item x="174"/>
        <item x="151"/>
        <item x="323"/>
        <item x="132"/>
        <item x="896"/>
        <item x="327"/>
        <item x="872"/>
        <item x="380"/>
        <item x="105"/>
        <item x="648"/>
        <item x="366"/>
        <item x="110"/>
        <item x="590"/>
        <item x="932"/>
        <item x="165"/>
        <item x="805"/>
        <item x="404"/>
        <item x="125"/>
        <item x="211"/>
        <item x="294"/>
        <item x="703"/>
        <item x="873"/>
        <item x="898"/>
        <item x="96"/>
        <item x="412"/>
        <item x="628"/>
        <item x="788"/>
        <item x="938"/>
        <item x="387"/>
        <item x="368"/>
        <item x="585"/>
        <item x="697"/>
        <item x="749"/>
        <item x="954"/>
        <item x="957"/>
        <item x="759"/>
        <item x="963"/>
        <item x="127"/>
        <item x="633"/>
        <item x="300"/>
        <item x="820"/>
        <item x="422"/>
        <item x="22"/>
        <item x="740"/>
        <item x="73"/>
        <item x="785"/>
        <item x="871"/>
        <item x="646"/>
        <item x="180"/>
        <item x="119"/>
        <item x="62"/>
        <item x="49"/>
        <item x="699"/>
        <item x="331"/>
        <item x="64"/>
        <item x="372"/>
        <item x="962"/>
        <item x="708"/>
        <item x="660"/>
        <item x="806"/>
        <item x="831"/>
        <item x="9"/>
        <item x="229"/>
        <item x="621"/>
        <item x="232"/>
        <item x="409"/>
        <item x="857"/>
        <item x="288"/>
        <item x="530"/>
        <item x="551"/>
        <item x="845"/>
        <item x="522"/>
        <item x="345"/>
        <item x="114"/>
        <item x="376"/>
        <item x="884"/>
        <item x="676"/>
        <item x="225"/>
        <item x="209"/>
        <item x="771"/>
        <item x="722"/>
        <item x="936"/>
        <item x="255"/>
        <item x="172"/>
        <item x="686"/>
        <item x="537"/>
        <item x="866"/>
        <item x="87"/>
        <item x="588"/>
        <item x="218"/>
        <item x="475"/>
        <item x="504"/>
        <item x="264"/>
        <item x="881"/>
        <item x="780"/>
        <item x="572"/>
        <item x="203"/>
        <item x="82"/>
        <item x="658"/>
        <item x="336"/>
        <item x="17"/>
        <item x="217"/>
        <item x="602"/>
        <item x="436"/>
        <item x="546"/>
        <item x="277"/>
        <item x="741"/>
        <item x="352"/>
        <item x="213"/>
        <item x="856"/>
        <item x="356"/>
        <item x="5"/>
        <item x="493"/>
        <item x="797"/>
        <item x="157"/>
        <item x="789"/>
        <item x="16"/>
        <item x="595"/>
        <item x="766"/>
        <item x="246"/>
        <item x="61"/>
        <item x="418"/>
        <item x="68"/>
        <item x="826"/>
        <item x="20"/>
        <item x="793"/>
        <item x="608"/>
        <item x="858"/>
        <item x="325"/>
        <item x="650"/>
        <item x="60"/>
        <item x="479"/>
        <item x="558"/>
        <item x="812"/>
        <item x="415"/>
        <item x="324"/>
        <item x="529"/>
        <item x="663"/>
        <item x="159"/>
        <item x="928"/>
        <item x="57"/>
        <item x="989"/>
        <item x="900"/>
        <item x="447"/>
        <item x="782"/>
        <item x="709"/>
        <item x="442"/>
        <item x="781"/>
        <item x="365"/>
        <item x="492"/>
        <item x="259"/>
        <item x="115"/>
        <item x="351"/>
        <item x="262"/>
        <item x="559"/>
        <item x="179"/>
        <item x="383"/>
        <item x="632"/>
        <item x="824"/>
        <item x="778"/>
        <item x="564"/>
        <item x="183"/>
        <item x="713"/>
        <item x="186"/>
        <item x="848"/>
        <item x="677"/>
        <item x="997"/>
        <item x="112"/>
        <item x="944"/>
        <item x="519"/>
        <item x="465"/>
        <item x="906"/>
        <item x="539"/>
        <item x="864"/>
        <item x="643"/>
        <item x="0"/>
        <item x="691"/>
        <item x="714"/>
        <item x="357"/>
        <item x="334"/>
        <item x="340"/>
        <item x="199"/>
        <item x="636"/>
        <item x="95"/>
        <item x="298"/>
        <item x="869"/>
        <item x="910"/>
        <item x="305"/>
        <item x="853"/>
        <item x="791"/>
        <item x="256"/>
        <item x="460"/>
        <item x="802"/>
        <item x="655"/>
        <item x="338"/>
        <item x="491"/>
        <item x="958"/>
        <item x="467"/>
        <item x="934"/>
        <item x="589"/>
        <item x="637"/>
        <item x="394"/>
        <item x="687"/>
        <item x="358"/>
        <item x="612"/>
        <item x="184"/>
        <item x="161"/>
        <item x="296"/>
        <item x="748"/>
        <item x="891"/>
        <item x="513"/>
        <item x="354"/>
        <item x="121"/>
        <item x="476"/>
        <item x="33"/>
        <item x="620"/>
        <item x="779"/>
        <item x="500"/>
        <item x="613"/>
        <item x="244"/>
        <item x="623"/>
        <item x="882"/>
        <item x="66"/>
        <item x="656"/>
        <item x="514"/>
        <item x="252"/>
        <item x="428"/>
        <item x="966"/>
        <item x="196"/>
        <item x="440"/>
        <item x="216"/>
        <item x="874"/>
        <item x="285"/>
        <item x="56"/>
        <item x="260"/>
        <item x="81"/>
        <item x="682"/>
        <item x="106"/>
        <item x="838"/>
        <item x="230"/>
        <item x="483"/>
        <item x="349"/>
        <item x="328"/>
        <item x="822"/>
        <item x="84"/>
        <item x="40"/>
        <item x="208"/>
        <item x="445"/>
        <item x="583"/>
        <item x="887"/>
        <item x="809"/>
        <item x="197"/>
        <item x="984"/>
        <item x="918"/>
        <item x="841"/>
        <item x="733"/>
        <item x="557"/>
        <item x="746"/>
        <item x="983"/>
        <item x="55"/>
        <item x="863"/>
        <item x="931"/>
        <item x="930"/>
        <item x="441"/>
        <item x="593"/>
        <item x="661"/>
        <item x="972"/>
        <item x="867"/>
        <item x="750"/>
        <item x="950"/>
        <item x="909"/>
        <item x="849"/>
        <item x="133"/>
        <item x="720"/>
        <item x="705"/>
        <item x="18"/>
        <item x="702"/>
        <item x="626"/>
        <item x="847"/>
        <item x="319"/>
        <item x="275"/>
        <item x="97"/>
        <item x="711"/>
        <item x="734"/>
        <item x="126"/>
        <item x="392"/>
        <item x="28"/>
        <item x="599"/>
        <item x="975"/>
        <item x="943"/>
        <item x="310"/>
        <item x="69"/>
        <item x="715"/>
        <item x="596"/>
        <item x="696"/>
        <item x="833"/>
        <item x="399"/>
        <item x="527"/>
        <item x="574"/>
        <item x="395"/>
        <item x="762"/>
        <item x="940"/>
        <item x="369"/>
        <item x="239"/>
        <item x="638"/>
        <item x="131"/>
        <item x="767"/>
        <item x="905"/>
        <item x="606"/>
        <item x="130"/>
        <item x="907"/>
        <item x="538"/>
        <item x="188"/>
        <item x="405"/>
        <item x="231"/>
        <item x="187"/>
        <item x="406"/>
        <item x="888"/>
        <item x="44"/>
        <item x="859"/>
        <item x="111"/>
        <item x="109"/>
        <item x="689"/>
        <item x="926"/>
        <item x="266"/>
        <item x="747"/>
        <item x="795"/>
        <item x="980"/>
        <item x="98"/>
        <item x="329"/>
        <item x="35"/>
        <item x="879"/>
        <item x="828"/>
        <item x="284"/>
        <item x="577"/>
        <item x="102"/>
        <item x="961"/>
        <item x="524"/>
        <item x="634"/>
        <item x="162"/>
        <item x="72"/>
        <item x="605"/>
        <item x="672"/>
        <item x="45"/>
        <item x="429"/>
        <item x="374"/>
        <item x="139"/>
        <item x="177"/>
        <item x="226"/>
        <item x="144"/>
        <item x="763"/>
        <item x="240"/>
        <item x="579"/>
        <item x="261"/>
        <item x="991"/>
        <item x="819"/>
        <item x="654"/>
        <item x="241"/>
        <item x="615"/>
        <item x="427"/>
        <item x="245"/>
        <item x="271"/>
        <item x="304"/>
        <item x="852"/>
        <item x="456"/>
        <item x="799"/>
        <item x="104"/>
        <item x="313"/>
        <item x="461"/>
        <item x="21"/>
        <item x="146"/>
        <item x="990"/>
        <item x="287"/>
        <item x="525"/>
        <item x="964"/>
        <item x="992"/>
        <item x="6"/>
        <item x="322"/>
        <item x="30"/>
        <item x="668"/>
        <item x="379"/>
        <item x="635"/>
        <item x="268"/>
        <item x="704"/>
        <item x="486"/>
        <item x="977"/>
        <item x="458"/>
        <item x="908"/>
        <item x="375"/>
        <item x="760"/>
        <item x="478"/>
        <item x="176"/>
        <item x="854"/>
        <item x="533"/>
        <item x="452"/>
        <item x="309"/>
        <item x="107"/>
        <item x="318"/>
        <item x="787"/>
        <item x="710"/>
        <item x="535"/>
        <item x="953"/>
        <item x="707"/>
        <item x="398"/>
        <item x="47"/>
        <item x="145"/>
        <item x="34"/>
        <item x="784"/>
        <item x="951"/>
        <item x="92"/>
        <item x="413"/>
        <item x="775"/>
        <item x="171"/>
        <item x="939"/>
        <item x="818"/>
        <item x="455"/>
        <item x="829"/>
        <item x="120"/>
        <item x="24"/>
        <item x="1"/>
        <item x="254"/>
        <item x="223"/>
        <item x="54"/>
        <item x="258"/>
        <item x="141"/>
        <item x="434"/>
        <item x="652"/>
        <item x="450"/>
        <item x="885"/>
        <item x="667"/>
        <item x="657"/>
        <item x="893"/>
        <item x="834"/>
        <item x="423"/>
        <item x="142"/>
        <item x="337"/>
        <item x="158"/>
        <item x="804"/>
        <item x="786"/>
        <item x="451"/>
        <item x="609"/>
        <item x="363"/>
        <item x="548"/>
        <item x="11"/>
        <item x="195"/>
        <item x="13"/>
        <item x="367"/>
        <item x="91"/>
        <item x="915"/>
        <item x="32"/>
        <item x="484"/>
        <item x="967"/>
        <item x="118"/>
        <item x="803"/>
        <item x="765"/>
        <item x="732"/>
        <item x="306"/>
        <item x="678"/>
        <item x="673"/>
        <item x="448"/>
        <item x="247"/>
        <item x="221"/>
        <item x="113"/>
        <item x="233"/>
        <item x="432"/>
        <item x="238"/>
        <item x="569"/>
        <item x="920"/>
        <item x="471"/>
        <item x="206"/>
        <item x="584"/>
        <item x="870"/>
        <item x="945"/>
        <item x="234"/>
        <item x="982"/>
        <item x="214"/>
        <item x="582"/>
        <item x="449"/>
        <item x="586"/>
        <item x="549"/>
        <item x="978"/>
        <item x="431"/>
        <item x="496"/>
        <item x="12"/>
        <item x="393"/>
        <item x="75"/>
        <item x="291"/>
        <item x="617"/>
        <item x="286"/>
        <item x="547"/>
        <item x="200"/>
        <item x="701"/>
        <item x="517"/>
        <item x="925"/>
        <item x="875"/>
        <item x="308"/>
        <item x="169"/>
        <item x="420"/>
        <item x="680"/>
        <item x="937"/>
        <item x="598"/>
        <item x="41"/>
        <item x="377"/>
        <item x="662"/>
        <item x="752"/>
        <item x="314"/>
        <item x="684"/>
        <item x="385"/>
        <item x="388"/>
        <item x="498"/>
        <item x="511"/>
        <item x="39"/>
        <item x="571"/>
        <item x="904"/>
        <item x="956"/>
        <item x="416"/>
        <item x="301"/>
        <item x="968"/>
        <item x="236"/>
        <item x="148"/>
        <item x="756"/>
        <item x="670"/>
        <item x="947"/>
        <item x="65"/>
        <item x="419"/>
        <item x="993"/>
        <item x="607"/>
        <item x="124"/>
        <item x="63"/>
        <item x="901"/>
        <item x="446"/>
        <item x="170"/>
        <item x="960"/>
        <item x="503"/>
        <item x="742"/>
        <item x="649"/>
        <item x="578"/>
        <item x="725"/>
        <item x="210"/>
        <item x="518"/>
        <item x="123"/>
        <item x="51"/>
        <item x="777"/>
        <item x="154"/>
        <item x="808"/>
        <item x="433"/>
        <item x="671"/>
        <item x="421"/>
        <item x="555"/>
        <item x="361"/>
        <item x="624"/>
        <item x="156"/>
        <item x="485"/>
        <item x="108"/>
        <item x="974"/>
        <item x="611"/>
        <item x="274"/>
        <item x="629"/>
        <item x="927"/>
        <item x="276"/>
        <item x="865"/>
        <item x="137"/>
        <item x="273"/>
        <item x="42"/>
        <item x="952"/>
        <item x="717"/>
        <item x="265"/>
        <item x="499"/>
        <item x="90"/>
        <item x="270"/>
        <item x="370"/>
        <item x="480"/>
        <item x="204"/>
        <item x="675"/>
        <item x="360"/>
        <item x="164"/>
        <item x="472"/>
        <item x="237"/>
        <item x="912"/>
        <item x="235"/>
        <item x="359"/>
        <item x="550"/>
        <item x="272"/>
        <item x="688"/>
        <item x="439"/>
        <item x="153"/>
        <item x="489"/>
        <item x="425"/>
        <item x="205"/>
        <item x="878"/>
        <item x="93"/>
        <item x="332"/>
        <item x="837"/>
        <item x="897"/>
        <item x="736"/>
        <item x="490"/>
        <item x="653"/>
        <item x="495"/>
        <item x="669"/>
        <item x="846"/>
        <item x="321"/>
        <item x="727"/>
        <item x="58"/>
        <item x="391"/>
        <item x="190"/>
        <item x="520"/>
        <item x="929"/>
        <item x="250"/>
        <item x="79"/>
        <item x="942"/>
        <item x="700"/>
        <item x="955"/>
        <item x="998"/>
        <item x="220"/>
        <item x="902"/>
        <item x="630"/>
        <item x="552"/>
        <item x="556"/>
        <item x="545"/>
        <item x="889"/>
        <item x="201"/>
        <item x="536"/>
        <item x="570"/>
        <item x="959"/>
        <item x="160"/>
        <item x="949"/>
        <item x="315"/>
        <item x="116"/>
        <item x="350"/>
        <item x="933"/>
        <item x="341"/>
        <item x="523"/>
        <item x="877"/>
        <item x="827"/>
        <item x="473"/>
        <item x="735"/>
        <item x="758"/>
        <item x="794"/>
        <item x="695"/>
        <item x="390"/>
        <item x="178"/>
        <item x="77"/>
        <item x="353"/>
        <item x="2"/>
        <item x="581"/>
        <item x="299"/>
        <item x="986"/>
        <item x="414"/>
        <item x="830"/>
        <item x="913"/>
        <item x="143"/>
        <item x="494"/>
        <item x="521"/>
        <item x="614"/>
        <item x="175"/>
        <item x="443"/>
        <item x="76"/>
        <item x="541"/>
        <item x="665"/>
        <item x="335"/>
        <item x="48"/>
        <item x="257"/>
        <item x="567"/>
        <item x="457"/>
        <item x="166"/>
        <item x="618"/>
        <item x="192"/>
        <item x="979"/>
        <item x="469"/>
        <item x="751"/>
        <item x="774"/>
        <item x="128"/>
        <item x="31"/>
        <item x="468"/>
        <item x="562"/>
        <item x="46"/>
        <item x="988"/>
        <item x="506"/>
        <item t="default"/>
      </items>
    </pivotField>
    <pivotField showAll="0"/>
    <pivotField showAll="0"/>
    <pivotField showAll="0"/>
    <pivotField dataField="1" showAll="0"/>
    <pivotField showAll="0">
      <items count="5">
        <item x="1"/>
        <item x="2"/>
        <item x="3"/>
        <item x="0"/>
        <item t="default"/>
      </items>
    </pivotField>
    <pivotField axis="axisRow" showAll="0">
      <items count="11">
        <item x="9"/>
        <item x="4"/>
        <item x="3"/>
        <item x="8"/>
        <item x="2"/>
        <item x="0"/>
        <item x="7"/>
        <item x="5"/>
        <item x="1"/>
        <item x="6"/>
        <item t="default"/>
      </items>
    </pivotField>
    <pivotField showAll="0">
      <items count="7">
        <item x="5"/>
        <item x="2"/>
        <item x="3"/>
        <item x="1"/>
        <item x="4"/>
        <item x="0"/>
        <item t="default"/>
      </items>
    </pivotField>
    <pivotField showAll="0"/>
    <pivotField showAll="0"/>
    <pivotField showAll="0">
      <items count="5">
        <item x="1"/>
        <item x="2"/>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11">
    <i>
      <x/>
    </i>
    <i>
      <x v="1"/>
    </i>
    <i>
      <x v="2"/>
    </i>
    <i>
      <x v="3"/>
    </i>
    <i>
      <x v="4"/>
    </i>
    <i>
      <x v="5"/>
    </i>
    <i>
      <x v="6"/>
    </i>
    <i>
      <x v="7"/>
    </i>
    <i>
      <x v="8"/>
    </i>
    <i>
      <x v="9"/>
    </i>
    <i t="grand">
      <x/>
    </i>
  </rowItems>
  <colItems count="1">
    <i/>
  </colItems>
  <dataFields count="1">
    <dataField name="Sum of Total_Cos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EF2CFA-CAE6-40CA-ADA1-2E20D44A507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6">
    <pivotField showAll="0"/>
    <pivotField numFmtId="22" showAll="0">
      <items count="1000">
        <item x="267"/>
        <item x="23"/>
        <item x="215"/>
        <item x="726"/>
        <item x="437"/>
        <item x="311"/>
        <item x="941"/>
        <item x="754"/>
        <item x="544"/>
        <item x="706"/>
        <item x="508"/>
        <item x="466"/>
        <item x="100"/>
        <item x="462"/>
        <item x="430"/>
        <item x="899"/>
        <item x="651"/>
        <item x="769"/>
        <item x="639"/>
        <item x="839"/>
        <item x="597"/>
        <item x="553"/>
        <item x="594"/>
        <item x="330"/>
        <item x="103"/>
        <item x="191"/>
        <item x="444"/>
        <item x="554"/>
        <item x="25"/>
        <item x="973"/>
        <item x="641"/>
        <item x="227"/>
        <item x="690"/>
        <item x="985"/>
        <item x="29"/>
        <item x="464"/>
        <item x="587"/>
        <item x="280"/>
        <item x="202"/>
        <item x="783"/>
        <item x="861"/>
        <item x="474"/>
        <item x="453"/>
        <item x="243"/>
        <item x="295"/>
        <item x="770"/>
        <item x="74"/>
        <item x="895"/>
        <item x="381"/>
        <item x="627"/>
        <item x="745"/>
        <item x="10"/>
        <item x="502"/>
        <item x="364"/>
        <item x="692"/>
        <item x="965"/>
        <item x="346"/>
        <item x="27"/>
        <item x="603"/>
        <item x="185"/>
        <item x="894"/>
        <item x="67"/>
        <item x="664"/>
        <item x="403"/>
        <item x="580"/>
        <item x="543"/>
        <item x="14"/>
        <item x="924"/>
        <item x="566"/>
        <item x="811"/>
        <item x="916"/>
        <item x="798"/>
        <item x="155"/>
        <item x="821"/>
        <item x="850"/>
        <item x="242"/>
        <item x="631"/>
        <item x="681"/>
        <item x="814"/>
        <item x="88"/>
        <item x="666"/>
        <item x="410"/>
        <item x="832"/>
        <item x="761"/>
        <item x="342"/>
        <item x="718"/>
        <item x="135"/>
        <item x="561"/>
        <item x="921"/>
        <item x="810"/>
        <item x="52"/>
        <item x="71"/>
        <item x="507"/>
        <item x="573"/>
        <item x="80"/>
        <item x="883"/>
        <item x="738"/>
        <item x="685"/>
        <item x="576"/>
        <item x="922"/>
        <item x="459"/>
        <item x="743"/>
        <item x="283"/>
        <item x="37"/>
        <item x="935"/>
        <item x="263"/>
        <item x="290"/>
        <item x="801"/>
        <item x="424"/>
        <item x="302"/>
        <item x="969"/>
        <item x="744"/>
        <item x="923"/>
        <item x="347"/>
        <item x="438"/>
        <item x="642"/>
        <item x="487"/>
        <item x="892"/>
        <item x="948"/>
        <item x="316"/>
        <item x="378"/>
        <item x="168"/>
        <item x="59"/>
        <item x="384"/>
        <item x="326"/>
        <item x="482"/>
        <item x="694"/>
        <item x="712"/>
        <item x="730"/>
        <item x="971"/>
        <item x="817"/>
        <item x="38"/>
        <item x="840"/>
        <item x="411"/>
        <item x="542"/>
        <item x="844"/>
        <item x="194"/>
        <item x="509"/>
        <item x="721"/>
        <item x="152"/>
        <item x="99"/>
        <item x="516"/>
        <item x="297"/>
        <item x="723"/>
        <item x="645"/>
        <item x="731"/>
        <item x="531"/>
        <item x="402"/>
        <item x="903"/>
        <item x="371"/>
        <item x="163"/>
        <item x="792"/>
        <item x="362"/>
        <item x="764"/>
        <item x="773"/>
        <item x="505"/>
        <item x="510"/>
        <item x="122"/>
        <item x="757"/>
        <item x="426"/>
        <item x="640"/>
        <item x="862"/>
        <item x="625"/>
        <item x="842"/>
        <item x="563"/>
        <item x="7"/>
        <item x="796"/>
        <item x="401"/>
        <item x="981"/>
        <item x="293"/>
        <item x="83"/>
        <item x="389"/>
        <item x="281"/>
        <item x="917"/>
        <item x="619"/>
        <item x="70"/>
        <item x="26"/>
        <item x="86"/>
        <item x="150"/>
        <item x="407"/>
        <item x="843"/>
        <item x="946"/>
        <item x="790"/>
        <item x="212"/>
        <item x="339"/>
        <item x="344"/>
        <item x="317"/>
        <item x="886"/>
        <item x="994"/>
        <item x="224"/>
        <item x="729"/>
        <item x="382"/>
        <item x="836"/>
        <item x="43"/>
        <item x="855"/>
        <item x="193"/>
        <item x="987"/>
        <item x="36"/>
        <item x="534"/>
        <item x="167"/>
        <item x="755"/>
        <item x="481"/>
        <item x="454"/>
        <item x="134"/>
        <item x="85"/>
        <item x="129"/>
        <item x="396"/>
        <item x="3"/>
        <item x="807"/>
        <item x="219"/>
        <item x="604"/>
        <item x="173"/>
        <item x="292"/>
        <item x="512"/>
        <item x="348"/>
        <item x="860"/>
        <item x="716"/>
        <item x="739"/>
        <item x="182"/>
        <item x="647"/>
        <item x="408"/>
        <item x="269"/>
        <item x="497"/>
        <item x="248"/>
        <item x="772"/>
        <item x="970"/>
        <item x="312"/>
        <item x="181"/>
        <item x="435"/>
        <item x="355"/>
        <item x="140"/>
        <item x="4"/>
        <item x="343"/>
        <item x="768"/>
        <item x="753"/>
        <item x="622"/>
        <item x="253"/>
        <item x="565"/>
        <item x="976"/>
        <item x="501"/>
        <item x="373"/>
        <item x="914"/>
        <item x="417"/>
        <item x="526"/>
        <item x="53"/>
        <item x="15"/>
        <item x="251"/>
        <item x="470"/>
        <item x="117"/>
        <item x="78"/>
        <item x="698"/>
        <item x="282"/>
        <item x="532"/>
        <item x="683"/>
        <item x="816"/>
        <item x="198"/>
        <item x="996"/>
        <item x="320"/>
        <item x="674"/>
        <item x="644"/>
        <item x="601"/>
        <item x="19"/>
        <item x="610"/>
        <item x="591"/>
        <item x="222"/>
        <item x="307"/>
        <item x="515"/>
        <item x="659"/>
        <item x="679"/>
        <item x="728"/>
        <item x="737"/>
        <item x="851"/>
        <item x="397"/>
        <item x="600"/>
        <item x="228"/>
        <item x="719"/>
        <item x="303"/>
        <item x="868"/>
        <item x="136"/>
        <item x="825"/>
        <item x="911"/>
        <item x="592"/>
        <item x="540"/>
        <item x="333"/>
        <item x="568"/>
        <item x="528"/>
        <item x="693"/>
        <item x="488"/>
        <item x="813"/>
        <item x="101"/>
        <item x="835"/>
        <item x="560"/>
        <item x="278"/>
        <item x="147"/>
        <item x="400"/>
        <item x="823"/>
        <item x="463"/>
        <item x="995"/>
        <item x="89"/>
        <item x="279"/>
        <item x="815"/>
        <item x="919"/>
        <item x="876"/>
        <item x="189"/>
        <item x="386"/>
        <item x="477"/>
        <item x="8"/>
        <item x="575"/>
        <item x="800"/>
        <item x="138"/>
        <item x="890"/>
        <item x="207"/>
        <item x="94"/>
        <item x="50"/>
        <item x="149"/>
        <item x="880"/>
        <item x="289"/>
        <item x="724"/>
        <item x="616"/>
        <item x="249"/>
        <item x="776"/>
        <item x="174"/>
        <item x="151"/>
        <item x="323"/>
        <item x="132"/>
        <item x="896"/>
        <item x="327"/>
        <item x="872"/>
        <item x="380"/>
        <item x="105"/>
        <item x="648"/>
        <item x="366"/>
        <item x="110"/>
        <item x="590"/>
        <item x="932"/>
        <item x="165"/>
        <item x="805"/>
        <item x="404"/>
        <item x="125"/>
        <item x="211"/>
        <item x="294"/>
        <item x="703"/>
        <item x="873"/>
        <item x="898"/>
        <item x="96"/>
        <item x="412"/>
        <item x="628"/>
        <item x="788"/>
        <item x="938"/>
        <item x="387"/>
        <item x="368"/>
        <item x="585"/>
        <item x="697"/>
        <item x="749"/>
        <item x="954"/>
        <item x="957"/>
        <item x="759"/>
        <item x="963"/>
        <item x="127"/>
        <item x="633"/>
        <item x="300"/>
        <item x="820"/>
        <item x="422"/>
        <item x="22"/>
        <item x="740"/>
        <item x="73"/>
        <item x="785"/>
        <item x="871"/>
        <item x="646"/>
        <item x="180"/>
        <item x="119"/>
        <item x="62"/>
        <item x="49"/>
        <item x="699"/>
        <item x="331"/>
        <item x="64"/>
        <item x="372"/>
        <item x="962"/>
        <item x="708"/>
        <item x="660"/>
        <item x="806"/>
        <item x="831"/>
        <item x="9"/>
        <item x="229"/>
        <item x="621"/>
        <item x="232"/>
        <item x="409"/>
        <item x="857"/>
        <item x="288"/>
        <item x="530"/>
        <item x="551"/>
        <item x="845"/>
        <item x="522"/>
        <item x="345"/>
        <item x="114"/>
        <item x="376"/>
        <item x="884"/>
        <item x="676"/>
        <item x="225"/>
        <item x="209"/>
        <item x="771"/>
        <item x="722"/>
        <item x="936"/>
        <item x="255"/>
        <item x="172"/>
        <item x="686"/>
        <item x="537"/>
        <item x="866"/>
        <item x="87"/>
        <item x="588"/>
        <item x="218"/>
        <item x="475"/>
        <item x="504"/>
        <item x="264"/>
        <item x="881"/>
        <item x="780"/>
        <item x="572"/>
        <item x="203"/>
        <item x="82"/>
        <item x="658"/>
        <item x="336"/>
        <item x="17"/>
        <item x="217"/>
        <item x="602"/>
        <item x="436"/>
        <item x="546"/>
        <item x="277"/>
        <item x="741"/>
        <item x="352"/>
        <item x="213"/>
        <item x="856"/>
        <item x="356"/>
        <item x="5"/>
        <item x="493"/>
        <item x="797"/>
        <item x="157"/>
        <item x="789"/>
        <item x="16"/>
        <item x="595"/>
        <item x="766"/>
        <item x="246"/>
        <item x="61"/>
        <item x="418"/>
        <item x="68"/>
        <item x="826"/>
        <item x="20"/>
        <item x="793"/>
        <item x="608"/>
        <item x="858"/>
        <item x="325"/>
        <item x="650"/>
        <item x="60"/>
        <item x="479"/>
        <item x="558"/>
        <item x="812"/>
        <item x="415"/>
        <item x="324"/>
        <item x="529"/>
        <item x="663"/>
        <item x="159"/>
        <item x="928"/>
        <item x="57"/>
        <item x="989"/>
        <item x="900"/>
        <item x="447"/>
        <item x="782"/>
        <item x="709"/>
        <item x="442"/>
        <item x="781"/>
        <item x="365"/>
        <item x="492"/>
        <item x="259"/>
        <item x="115"/>
        <item x="351"/>
        <item x="262"/>
        <item x="559"/>
        <item x="179"/>
        <item x="383"/>
        <item x="632"/>
        <item x="824"/>
        <item x="778"/>
        <item x="564"/>
        <item x="183"/>
        <item x="713"/>
        <item x="186"/>
        <item x="848"/>
        <item x="677"/>
        <item x="997"/>
        <item x="112"/>
        <item x="944"/>
        <item x="519"/>
        <item x="465"/>
        <item x="906"/>
        <item x="539"/>
        <item x="864"/>
        <item x="643"/>
        <item x="0"/>
        <item x="691"/>
        <item x="714"/>
        <item x="357"/>
        <item x="334"/>
        <item x="340"/>
        <item x="199"/>
        <item x="636"/>
        <item x="95"/>
        <item x="298"/>
        <item x="869"/>
        <item x="910"/>
        <item x="305"/>
        <item x="853"/>
        <item x="791"/>
        <item x="256"/>
        <item x="460"/>
        <item x="802"/>
        <item x="655"/>
        <item x="338"/>
        <item x="491"/>
        <item x="958"/>
        <item x="467"/>
        <item x="934"/>
        <item x="589"/>
        <item x="637"/>
        <item x="394"/>
        <item x="687"/>
        <item x="358"/>
        <item x="612"/>
        <item x="184"/>
        <item x="161"/>
        <item x="296"/>
        <item x="748"/>
        <item x="891"/>
        <item x="513"/>
        <item x="354"/>
        <item x="121"/>
        <item x="476"/>
        <item x="33"/>
        <item x="620"/>
        <item x="779"/>
        <item x="500"/>
        <item x="613"/>
        <item x="244"/>
        <item x="623"/>
        <item x="882"/>
        <item x="66"/>
        <item x="656"/>
        <item x="514"/>
        <item x="252"/>
        <item x="428"/>
        <item x="966"/>
        <item x="196"/>
        <item x="440"/>
        <item x="216"/>
        <item x="874"/>
        <item x="285"/>
        <item x="56"/>
        <item x="260"/>
        <item x="81"/>
        <item x="682"/>
        <item x="106"/>
        <item x="838"/>
        <item x="230"/>
        <item x="483"/>
        <item x="349"/>
        <item x="328"/>
        <item x="822"/>
        <item x="84"/>
        <item x="40"/>
        <item x="208"/>
        <item x="445"/>
        <item x="583"/>
        <item x="887"/>
        <item x="809"/>
        <item x="197"/>
        <item x="984"/>
        <item x="918"/>
        <item x="841"/>
        <item x="733"/>
        <item x="557"/>
        <item x="746"/>
        <item x="983"/>
        <item x="55"/>
        <item x="863"/>
        <item x="931"/>
        <item x="930"/>
        <item x="441"/>
        <item x="593"/>
        <item x="661"/>
        <item x="972"/>
        <item x="867"/>
        <item x="750"/>
        <item x="950"/>
        <item x="909"/>
        <item x="849"/>
        <item x="133"/>
        <item x="720"/>
        <item x="705"/>
        <item x="18"/>
        <item x="702"/>
        <item x="626"/>
        <item x="847"/>
        <item x="319"/>
        <item x="275"/>
        <item x="97"/>
        <item x="711"/>
        <item x="734"/>
        <item x="126"/>
        <item x="392"/>
        <item x="28"/>
        <item x="599"/>
        <item x="975"/>
        <item x="943"/>
        <item x="310"/>
        <item x="69"/>
        <item x="715"/>
        <item x="596"/>
        <item x="696"/>
        <item x="833"/>
        <item x="399"/>
        <item x="527"/>
        <item x="574"/>
        <item x="395"/>
        <item x="762"/>
        <item x="940"/>
        <item x="369"/>
        <item x="239"/>
        <item x="638"/>
        <item x="131"/>
        <item x="767"/>
        <item x="905"/>
        <item x="606"/>
        <item x="130"/>
        <item x="907"/>
        <item x="538"/>
        <item x="188"/>
        <item x="405"/>
        <item x="231"/>
        <item x="187"/>
        <item x="406"/>
        <item x="888"/>
        <item x="44"/>
        <item x="859"/>
        <item x="111"/>
        <item x="109"/>
        <item x="689"/>
        <item x="926"/>
        <item x="266"/>
        <item x="747"/>
        <item x="795"/>
        <item x="980"/>
        <item x="98"/>
        <item x="329"/>
        <item x="35"/>
        <item x="879"/>
        <item x="828"/>
        <item x="284"/>
        <item x="577"/>
        <item x="102"/>
        <item x="961"/>
        <item x="524"/>
        <item x="634"/>
        <item x="162"/>
        <item x="72"/>
        <item x="605"/>
        <item x="672"/>
        <item x="45"/>
        <item x="429"/>
        <item x="374"/>
        <item x="139"/>
        <item x="177"/>
        <item x="226"/>
        <item x="144"/>
        <item x="763"/>
        <item x="240"/>
        <item x="579"/>
        <item x="261"/>
        <item x="991"/>
        <item x="819"/>
        <item x="654"/>
        <item x="241"/>
        <item x="615"/>
        <item x="427"/>
        <item x="245"/>
        <item x="271"/>
        <item x="304"/>
        <item x="852"/>
        <item x="456"/>
        <item x="799"/>
        <item x="104"/>
        <item x="313"/>
        <item x="461"/>
        <item x="21"/>
        <item x="146"/>
        <item x="990"/>
        <item x="287"/>
        <item x="525"/>
        <item x="964"/>
        <item x="992"/>
        <item x="6"/>
        <item x="322"/>
        <item x="30"/>
        <item x="668"/>
        <item x="379"/>
        <item x="635"/>
        <item x="268"/>
        <item x="704"/>
        <item x="486"/>
        <item x="977"/>
        <item x="458"/>
        <item x="908"/>
        <item x="375"/>
        <item x="760"/>
        <item x="478"/>
        <item x="176"/>
        <item x="854"/>
        <item x="533"/>
        <item x="452"/>
        <item x="309"/>
        <item x="107"/>
        <item x="318"/>
        <item x="787"/>
        <item x="710"/>
        <item x="535"/>
        <item x="953"/>
        <item x="707"/>
        <item x="398"/>
        <item x="47"/>
        <item x="145"/>
        <item x="34"/>
        <item x="784"/>
        <item x="951"/>
        <item x="92"/>
        <item x="413"/>
        <item x="775"/>
        <item x="171"/>
        <item x="939"/>
        <item x="818"/>
        <item x="455"/>
        <item x="829"/>
        <item x="120"/>
        <item x="24"/>
        <item x="1"/>
        <item x="254"/>
        <item x="223"/>
        <item x="54"/>
        <item x="258"/>
        <item x="141"/>
        <item x="434"/>
        <item x="652"/>
        <item x="450"/>
        <item x="885"/>
        <item x="667"/>
        <item x="657"/>
        <item x="893"/>
        <item x="834"/>
        <item x="423"/>
        <item x="142"/>
        <item x="337"/>
        <item x="158"/>
        <item x="804"/>
        <item x="786"/>
        <item x="451"/>
        <item x="609"/>
        <item x="363"/>
        <item x="548"/>
        <item x="11"/>
        <item x="195"/>
        <item x="13"/>
        <item x="367"/>
        <item x="91"/>
        <item x="915"/>
        <item x="32"/>
        <item x="484"/>
        <item x="967"/>
        <item x="118"/>
        <item x="803"/>
        <item x="765"/>
        <item x="732"/>
        <item x="306"/>
        <item x="678"/>
        <item x="673"/>
        <item x="448"/>
        <item x="247"/>
        <item x="221"/>
        <item x="113"/>
        <item x="233"/>
        <item x="432"/>
        <item x="238"/>
        <item x="569"/>
        <item x="920"/>
        <item x="471"/>
        <item x="206"/>
        <item x="584"/>
        <item x="870"/>
        <item x="945"/>
        <item x="234"/>
        <item x="982"/>
        <item x="214"/>
        <item x="582"/>
        <item x="449"/>
        <item x="586"/>
        <item x="549"/>
        <item x="978"/>
        <item x="431"/>
        <item x="496"/>
        <item x="12"/>
        <item x="393"/>
        <item x="75"/>
        <item x="291"/>
        <item x="617"/>
        <item x="286"/>
        <item x="547"/>
        <item x="200"/>
        <item x="701"/>
        <item x="517"/>
        <item x="925"/>
        <item x="875"/>
        <item x="308"/>
        <item x="169"/>
        <item x="420"/>
        <item x="680"/>
        <item x="937"/>
        <item x="598"/>
        <item x="41"/>
        <item x="377"/>
        <item x="662"/>
        <item x="752"/>
        <item x="314"/>
        <item x="684"/>
        <item x="385"/>
        <item x="388"/>
        <item x="498"/>
        <item x="511"/>
        <item x="39"/>
        <item x="571"/>
        <item x="904"/>
        <item x="956"/>
        <item x="416"/>
        <item x="301"/>
        <item x="968"/>
        <item x="236"/>
        <item x="148"/>
        <item x="756"/>
        <item x="670"/>
        <item x="947"/>
        <item x="65"/>
        <item x="419"/>
        <item x="993"/>
        <item x="607"/>
        <item x="124"/>
        <item x="63"/>
        <item x="901"/>
        <item x="446"/>
        <item x="170"/>
        <item x="960"/>
        <item x="503"/>
        <item x="742"/>
        <item x="649"/>
        <item x="578"/>
        <item x="725"/>
        <item x="210"/>
        <item x="518"/>
        <item x="123"/>
        <item x="51"/>
        <item x="777"/>
        <item x="154"/>
        <item x="808"/>
        <item x="433"/>
        <item x="671"/>
        <item x="421"/>
        <item x="555"/>
        <item x="361"/>
        <item x="624"/>
        <item x="156"/>
        <item x="485"/>
        <item x="108"/>
        <item x="974"/>
        <item x="611"/>
        <item x="274"/>
        <item x="629"/>
        <item x="927"/>
        <item x="276"/>
        <item x="865"/>
        <item x="137"/>
        <item x="273"/>
        <item x="42"/>
        <item x="952"/>
        <item x="717"/>
        <item x="265"/>
        <item x="499"/>
        <item x="90"/>
        <item x="270"/>
        <item x="370"/>
        <item x="480"/>
        <item x="204"/>
        <item x="675"/>
        <item x="360"/>
        <item x="164"/>
        <item x="472"/>
        <item x="237"/>
        <item x="912"/>
        <item x="235"/>
        <item x="359"/>
        <item x="550"/>
        <item x="272"/>
        <item x="688"/>
        <item x="439"/>
        <item x="153"/>
        <item x="489"/>
        <item x="425"/>
        <item x="205"/>
        <item x="878"/>
        <item x="93"/>
        <item x="332"/>
        <item x="837"/>
        <item x="897"/>
        <item x="736"/>
        <item x="490"/>
        <item x="653"/>
        <item x="495"/>
        <item x="669"/>
        <item x="846"/>
        <item x="321"/>
        <item x="727"/>
        <item x="58"/>
        <item x="391"/>
        <item x="190"/>
        <item x="520"/>
        <item x="929"/>
        <item x="250"/>
        <item x="79"/>
        <item x="942"/>
        <item x="700"/>
        <item x="955"/>
        <item x="998"/>
        <item x="220"/>
        <item x="902"/>
        <item x="630"/>
        <item x="552"/>
        <item x="556"/>
        <item x="545"/>
        <item x="889"/>
        <item x="201"/>
        <item x="536"/>
        <item x="570"/>
        <item x="959"/>
        <item x="160"/>
        <item x="949"/>
        <item x="315"/>
        <item x="116"/>
        <item x="350"/>
        <item x="933"/>
        <item x="341"/>
        <item x="523"/>
        <item x="877"/>
        <item x="827"/>
        <item x="473"/>
        <item x="735"/>
        <item x="758"/>
        <item x="794"/>
        <item x="695"/>
        <item x="390"/>
        <item x="178"/>
        <item x="77"/>
        <item x="353"/>
        <item x="2"/>
        <item x="581"/>
        <item x="299"/>
        <item x="986"/>
        <item x="414"/>
        <item x="830"/>
        <item x="913"/>
        <item x="143"/>
        <item x="494"/>
        <item x="521"/>
        <item x="614"/>
        <item x="175"/>
        <item x="443"/>
        <item x="76"/>
        <item x="541"/>
        <item x="665"/>
        <item x="335"/>
        <item x="48"/>
        <item x="257"/>
        <item x="567"/>
        <item x="457"/>
        <item x="166"/>
        <item x="618"/>
        <item x="192"/>
        <item x="979"/>
        <item x="469"/>
        <item x="751"/>
        <item x="774"/>
        <item x="128"/>
        <item x="31"/>
        <item x="468"/>
        <item x="562"/>
        <item x="46"/>
        <item x="988"/>
        <item x="506"/>
        <item t="default"/>
      </items>
    </pivotField>
    <pivotField showAll="0"/>
    <pivotField showAll="0"/>
    <pivotField showAll="0"/>
    <pivotField dataField="1" showAll="0"/>
    <pivotField axis="axisRow" showAll="0">
      <items count="5">
        <item x="1"/>
        <item x="2"/>
        <item x="3"/>
        <item x="0"/>
        <item t="default"/>
      </items>
    </pivotField>
    <pivotField showAll="0"/>
    <pivotField showAll="0"/>
    <pivotField showAll="0"/>
    <pivotField showAll="0"/>
    <pivotField showAll="0">
      <items count="5">
        <item x="1"/>
        <item x="2"/>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5">
    <i>
      <x/>
    </i>
    <i>
      <x v="1"/>
    </i>
    <i>
      <x v="2"/>
    </i>
    <i>
      <x v="3"/>
    </i>
    <i t="grand">
      <x/>
    </i>
  </rowItems>
  <colItems count="1">
    <i/>
  </colItems>
  <dataFields count="1">
    <dataField name="Sum of Total_Cost"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71EE4F-2CF5-4B86-BEFB-3D22E6C1C9C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0" firstHeaderRow="0" firstDataRow="1" firstDataCol="1"/>
  <pivotFields count="16">
    <pivotField dataField="1" showAll="0"/>
    <pivotField numFmtId="22" showAll="0">
      <items count="1000">
        <item x="267"/>
        <item x="23"/>
        <item x="215"/>
        <item x="726"/>
        <item x="437"/>
        <item x="311"/>
        <item x="941"/>
        <item x="754"/>
        <item x="544"/>
        <item x="706"/>
        <item x="508"/>
        <item x="466"/>
        <item x="100"/>
        <item x="462"/>
        <item x="430"/>
        <item x="899"/>
        <item x="651"/>
        <item x="769"/>
        <item x="639"/>
        <item x="839"/>
        <item x="597"/>
        <item x="553"/>
        <item x="594"/>
        <item x="330"/>
        <item x="103"/>
        <item x="191"/>
        <item x="444"/>
        <item x="554"/>
        <item x="25"/>
        <item x="973"/>
        <item x="641"/>
        <item x="227"/>
        <item x="690"/>
        <item x="985"/>
        <item x="29"/>
        <item x="464"/>
        <item x="587"/>
        <item x="280"/>
        <item x="202"/>
        <item x="783"/>
        <item x="861"/>
        <item x="474"/>
        <item x="453"/>
        <item x="243"/>
        <item x="295"/>
        <item x="770"/>
        <item x="74"/>
        <item x="895"/>
        <item x="381"/>
        <item x="627"/>
        <item x="745"/>
        <item x="10"/>
        <item x="502"/>
        <item x="364"/>
        <item x="692"/>
        <item x="965"/>
        <item x="346"/>
        <item x="27"/>
        <item x="603"/>
        <item x="185"/>
        <item x="894"/>
        <item x="67"/>
        <item x="664"/>
        <item x="403"/>
        <item x="580"/>
        <item x="543"/>
        <item x="14"/>
        <item x="924"/>
        <item x="566"/>
        <item x="811"/>
        <item x="916"/>
        <item x="798"/>
        <item x="155"/>
        <item x="821"/>
        <item x="850"/>
        <item x="242"/>
        <item x="631"/>
        <item x="681"/>
        <item x="814"/>
        <item x="88"/>
        <item x="666"/>
        <item x="410"/>
        <item x="832"/>
        <item x="761"/>
        <item x="342"/>
        <item x="718"/>
        <item x="135"/>
        <item x="561"/>
        <item x="921"/>
        <item x="810"/>
        <item x="52"/>
        <item x="71"/>
        <item x="507"/>
        <item x="573"/>
        <item x="80"/>
        <item x="883"/>
        <item x="738"/>
        <item x="685"/>
        <item x="576"/>
        <item x="922"/>
        <item x="459"/>
        <item x="743"/>
        <item x="283"/>
        <item x="37"/>
        <item x="935"/>
        <item x="263"/>
        <item x="290"/>
        <item x="801"/>
        <item x="424"/>
        <item x="302"/>
        <item x="969"/>
        <item x="744"/>
        <item x="923"/>
        <item x="347"/>
        <item x="438"/>
        <item x="642"/>
        <item x="487"/>
        <item x="892"/>
        <item x="948"/>
        <item x="316"/>
        <item x="378"/>
        <item x="168"/>
        <item x="59"/>
        <item x="384"/>
        <item x="326"/>
        <item x="482"/>
        <item x="694"/>
        <item x="712"/>
        <item x="730"/>
        <item x="971"/>
        <item x="817"/>
        <item x="38"/>
        <item x="840"/>
        <item x="411"/>
        <item x="542"/>
        <item x="844"/>
        <item x="194"/>
        <item x="509"/>
        <item x="721"/>
        <item x="152"/>
        <item x="99"/>
        <item x="516"/>
        <item x="297"/>
        <item x="723"/>
        <item x="645"/>
        <item x="731"/>
        <item x="531"/>
        <item x="402"/>
        <item x="903"/>
        <item x="371"/>
        <item x="163"/>
        <item x="792"/>
        <item x="362"/>
        <item x="764"/>
        <item x="773"/>
        <item x="505"/>
        <item x="510"/>
        <item x="122"/>
        <item x="757"/>
        <item x="426"/>
        <item x="640"/>
        <item x="862"/>
        <item x="625"/>
        <item x="842"/>
        <item x="563"/>
        <item x="7"/>
        <item x="796"/>
        <item x="401"/>
        <item x="981"/>
        <item x="293"/>
        <item x="83"/>
        <item x="389"/>
        <item x="281"/>
        <item x="917"/>
        <item x="619"/>
        <item x="70"/>
        <item x="26"/>
        <item x="86"/>
        <item x="150"/>
        <item x="407"/>
        <item x="843"/>
        <item x="946"/>
        <item x="790"/>
        <item x="212"/>
        <item x="339"/>
        <item x="344"/>
        <item x="317"/>
        <item x="886"/>
        <item x="994"/>
        <item x="224"/>
        <item x="729"/>
        <item x="382"/>
        <item x="836"/>
        <item x="43"/>
        <item x="855"/>
        <item x="193"/>
        <item x="987"/>
        <item x="36"/>
        <item x="534"/>
        <item x="167"/>
        <item x="755"/>
        <item x="481"/>
        <item x="454"/>
        <item x="134"/>
        <item x="85"/>
        <item x="129"/>
        <item x="396"/>
        <item x="3"/>
        <item x="807"/>
        <item x="219"/>
        <item x="604"/>
        <item x="173"/>
        <item x="292"/>
        <item x="512"/>
        <item x="348"/>
        <item x="860"/>
        <item x="716"/>
        <item x="739"/>
        <item x="182"/>
        <item x="647"/>
        <item x="408"/>
        <item x="269"/>
        <item x="497"/>
        <item x="248"/>
        <item x="772"/>
        <item x="970"/>
        <item x="312"/>
        <item x="181"/>
        <item x="435"/>
        <item x="355"/>
        <item x="140"/>
        <item x="4"/>
        <item x="343"/>
        <item x="768"/>
        <item x="753"/>
        <item x="622"/>
        <item x="253"/>
        <item x="565"/>
        <item x="976"/>
        <item x="501"/>
        <item x="373"/>
        <item x="914"/>
        <item x="417"/>
        <item x="526"/>
        <item x="53"/>
        <item x="15"/>
        <item x="251"/>
        <item x="470"/>
        <item x="117"/>
        <item x="78"/>
        <item x="698"/>
        <item x="282"/>
        <item x="532"/>
        <item x="683"/>
        <item x="816"/>
        <item x="198"/>
        <item x="996"/>
        <item x="320"/>
        <item x="674"/>
        <item x="644"/>
        <item x="601"/>
        <item x="19"/>
        <item x="610"/>
        <item x="591"/>
        <item x="222"/>
        <item x="307"/>
        <item x="515"/>
        <item x="659"/>
        <item x="679"/>
        <item x="728"/>
        <item x="737"/>
        <item x="851"/>
        <item x="397"/>
        <item x="600"/>
        <item x="228"/>
        <item x="719"/>
        <item x="303"/>
        <item x="868"/>
        <item x="136"/>
        <item x="825"/>
        <item x="911"/>
        <item x="592"/>
        <item x="540"/>
        <item x="333"/>
        <item x="568"/>
        <item x="528"/>
        <item x="693"/>
        <item x="488"/>
        <item x="813"/>
        <item x="101"/>
        <item x="835"/>
        <item x="560"/>
        <item x="278"/>
        <item x="147"/>
        <item x="400"/>
        <item x="823"/>
        <item x="463"/>
        <item x="995"/>
        <item x="89"/>
        <item x="279"/>
        <item x="815"/>
        <item x="919"/>
        <item x="876"/>
        <item x="189"/>
        <item x="386"/>
        <item x="477"/>
        <item x="8"/>
        <item x="575"/>
        <item x="800"/>
        <item x="138"/>
        <item x="890"/>
        <item x="207"/>
        <item x="94"/>
        <item x="50"/>
        <item x="149"/>
        <item x="880"/>
        <item x="289"/>
        <item x="724"/>
        <item x="616"/>
        <item x="249"/>
        <item x="776"/>
        <item x="174"/>
        <item x="151"/>
        <item x="323"/>
        <item x="132"/>
        <item x="896"/>
        <item x="327"/>
        <item x="872"/>
        <item x="380"/>
        <item x="105"/>
        <item x="648"/>
        <item x="366"/>
        <item x="110"/>
        <item x="590"/>
        <item x="932"/>
        <item x="165"/>
        <item x="805"/>
        <item x="404"/>
        <item x="125"/>
        <item x="211"/>
        <item x="294"/>
        <item x="703"/>
        <item x="873"/>
        <item x="898"/>
        <item x="96"/>
        <item x="412"/>
        <item x="628"/>
        <item x="788"/>
        <item x="938"/>
        <item x="387"/>
        <item x="368"/>
        <item x="585"/>
        <item x="697"/>
        <item x="749"/>
        <item x="954"/>
        <item x="957"/>
        <item x="759"/>
        <item x="963"/>
        <item x="127"/>
        <item x="633"/>
        <item x="300"/>
        <item x="820"/>
        <item x="422"/>
        <item x="22"/>
        <item x="740"/>
        <item x="73"/>
        <item x="785"/>
        <item x="871"/>
        <item x="646"/>
        <item x="180"/>
        <item x="119"/>
        <item x="62"/>
        <item x="49"/>
        <item x="699"/>
        <item x="331"/>
        <item x="64"/>
        <item x="372"/>
        <item x="962"/>
        <item x="708"/>
        <item x="660"/>
        <item x="806"/>
        <item x="831"/>
        <item x="9"/>
        <item x="229"/>
        <item x="621"/>
        <item x="232"/>
        <item x="409"/>
        <item x="857"/>
        <item x="288"/>
        <item x="530"/>
        <item x="551"/>
        <item x="845"/>
        <item x="522"/>
        <item x="345"/>
        <item x="114"/>
        <item x="376"/>
        <item x="884"/>
        <item x="676"/>
        <item x="225"/>
        <item x="209"/>
        <item x="771"/>
        <item x="722"/>
        <item x="936"/>
        <item x="255"/>
        <item x="172"/>
        <item x="686"/>
        <item x="537"/>
        <item x="866"/>
        <item x="87"/>
        <item x="588"/>
        <item x="218"/>
        <item x="475"/>
        <item x="504"/>
        <item x="264"/>
        <item x="881"/>
        <item x="780"/>
        <item x="572"/>
        <item x="203"/>
        <item x="82"/>
        <item x="658"/>
        <item x="336"/>
        <item x="17"/>
        <item x="217"/>
        <item x="602"/>
        <item x="436"/>
        <item x="546"/>
        <item x="277"/>
        <item x="741"/>
        <item x="352"/>
        <item x="213"/>
        <item x="856"/>
        <item x="356"/>
        <item x="5"/>
        <item x="493"/>
        <item x="797"/>
        <item x="157"/>
        <item x="789"/>
        <item x="16"/>
        <item x="595"/>
        <item x="766"/>
        <item x="246"/>
        <item x="61"/>
        <item x="418"/>
        <item x="68"/>
        <item x="826"/>
        <item x="20"/>
        <item x="793"/>
        <item x="608"/>
        <item x="858"/>
        <item x="325"/>
        <item x="650"/>
        <item x="60"/>
        <item x="479"/>
        <item x="558"/>
        <item x="812"/>
        <item x="415"/>
        <item x="324"/>
        <item x="529"/>
        <item x="663"/>
        <item x="159"/>
        <item x="928"/>
        <item x="57"/>
        <item x="989"/>
        <item x="900"/>
        <item x="447"/>
        <item x="782"/>
        <item x="709"/>
        <item x="442"/>
        <item x="781"/>
        <item x="365"/>
        <item x="492"/>
        <item x="259"/>
        <item x="115"/>
        <item x="351"/>
        <item x="262"/>
        <item x="559"/>
        <item x="179"/>
        <item x="383"/>
        <item x="632"/>
        <item x="824"/>
        <item x="778"/>
        <item x="564"/>
        <item x="183"/>
        <item x="713"/>
        <item x="186"/>
        <item x="848"/>
        <item x="677"/>
        <item x="997"/>
        <item x="112"/>
        <item x="944"/>
        <item x="519"/>
        <item x="465"/>
        <item x="906"/>
        <item x="539"/>
        <item x="864"/>
        <item x="643"/>
        <item x="0"/>
        <item x="691"/>
        <item x="714"/>
        <item x="357"/>
        <item x="334"/>
        <item x="340"/>
        <item x="199"/>
        <item x="636"/>
        <item x="95"/>
        <item x="298"/>
        <item x="869"/>
        <item x="910"/>
        <item x="305"/>
        <item x="853"/>
        <item x="791"/>
        <item x="256"/>
        <item x="460"/>
        <item x="802"/>
        <item x="655"/>
        <item x="338"/>
        <item x="491"/>
        <item x="958"/>
        <item x="467"/>
        <item x="934"/>
        <item x="589"/>
        <item x="637"/>
        <item x="394"/>
        <item x="687"/>
        <item x="358"/>
        <item x="612"/>
        <item x="184"/>
        <item x="161"/>
        <item x="296"/>
        <item x="748"/>
        <item x="891"/>
        <item x="513"/>
        <item x="354"/>
        <item x="121"/>
        <item x="476"/>
        <item x="33"/>
        <item x="620"/>
        <item x="779"/>
        <item x="500"/>
        <item x="613"/>
        <item x="244"/>
        <item x="623"/>
        <item x="882"/>
        <item x="66"/>
        <item x="656"/>
        <item x="514"/>
        <item x="252"/>
        <item x="428"/>
        <item x="966"/>
        <item x="196"/>
        <item x="440"/>
        <item x="216"/>
        <item x="874"/>
        <item x="285"/>
        <item x="56"/>
        <item x="260"/>
        <item x="81"/>
        <item x="682"/>
        <item x="106"/>
        <item x="838"/>
        <item x="230"/>
        <item x="483"/>
        <item x="349"/>
        <item x="328"/>
        <item x="822"/>
        <item x="84"/>
        <item x="40"/>
        <item x="208"/>
        <item x="445"/>
        <item x="583"/>
        <item x="887"/>
        <item x="809"/>
        <item x="197"/>
        <item x="984"/>
        <item x="918"/>
        <item x="841"/>
        <item x="733"/>
        <item x="557"/>
        <item x="746"/>
        <item x="983"/>
        <item x="55"/>
        <item x="863"/>
        <item x="931"/>
        <item x="930"/>
        <item x="441"/>
        <item x="593"/>
        <item x="661"/>
        <item x="972"/>
        <item x="867"/>
        <item x="750"/>
        <item x="950"/>
        <item x="909"/>
        <item x="849"/>
        <item x="133"/>
        <item x="720"/>
        <item x="705"/>
        <item x="18"/>
        <item x="702"/>
        <item x="626"/>
        <item x="847"/>
        <item x="319"/>
        <item x="275"/>
        <item x="97"/>
        <item x="711"/>
        <item x="734"/>
        <item x="126"/>
        <item x="392"/>
        <item x="28"/>
        <item x="599"/>
        <item x="975"/>
        <item x="943"/>
        <item x="310"/>
        <item x="69"/>
        <item x="715"/>
        <item x="596"/>
        <item x="696"/>
        <item x="833"/>
        <item x="399"/>
        <item x="527"/>
        <item x="574"/>
        <item x="395"/>
        <item x="762"/>
        <item x="940"/>
        <item x="369"/>
        <item x="239"/>
        <item x="638"/>
        <item x="131"/>
        <item x="767"/>
        <item x="905"/>
        <item x="606"/>
        <item x="130"/>
        <item x="907"/>
        <item x="538"/>
        <item x="188"/>
        <item x="405"/>
        <item x="231"/>
        <item x="187"/>
        <item x="406"/>
        <item x="888"/>
        <item x="44"/>
        <item x="859"/>
        <item x="111"/>
        <item x="109"/>
        <item x="689"/>
        <item x="926"/>
        <item x="266"/>
        <item x="747"/>
        <item x="795"/>
        <item x="980"/>
        <item x="98"/>
        <item x="329"/>
        <item x="35"/>
        <item x="879"/>
        <item x="828"/>
        <item x="284"/>
        <item x="577"/>
        <item x="102"/>
        <item x="961"/>
        <item x="524"/>
        <item x="634"/>
        <item x="162"/>
        <item x="72"/>
        <item x="605"/>
        <item x="672"/>
        <item x="45"/>
        <item x="429"/>
        <item x="374"/>
        <item x="139"/>
        <item x="177"/>
        <item x="226"/>
        <item x="144"/>
        <item x="763"/>
        <item x="240"/>
        <item x="579"/>
        <item x="261"/>
        <item x="991"/>
        <item x="819"/>
        <item x="654"/>
        <item x="241"/>
        <item x="615"/>
        <item x="427"/>
        <item x="245"/>
        <item x="271"/>
        <item x="304"/>
        <item x="852"/>
        <item x="456"/>
        <item x="799"/>
        <item x="104"/>
        <item x="313"/>
        <item x="461"/>
        <item x="21"/>
        <item x="146"/>
        <item x="990"/>
        <item x="287"/>
        <item x="525"/>
        <item x="964"/>
        <item x="992"/>
        <item x="6"/>
        <item x="322"/>
        <item x="30"/>
        <item x="668"/>
        <item x="379"/>
        <item x="635"/>
        <item x="268"/>
        <item x="704"/>
        <item x="486"/>
        <item x="977"/>
        <item x="458"/>
        <item x="908"/>
        <item x="375"/>
        <item x="760"/>
        <item x="478"/>
        <item x="176"/>
        <item x="854"/>
        <item x="533"/>
        <item x="452"/>
        <item x="309"/>
        <item x="107"/>
        <item x="318"/>
        <item x="787"/>
        <item x="710"/>
        <item x="535"/>
        <item x="953"/>
        <item x="707"/>
        <item x="398"/>
        <item x="47"/>
        <item x="145"/>
        <item x="34"/>
        <item x="784"/>
        <item x="951"/>
        <item x="92"/>
        <item x="413"/>
        <item x="775"/>
        <item x="171"/>
        <item x="939"/>
        <item x="818"/>
        <item x="455"/>
        <item x="829"/>
        <item x="120"/>
        <item x="24"/>
        <item x="1"/>
        <item x="254"/>
        <item x="223"/>
        <item x="54"/>
        <item x="258"/>
        <item x="141"/>
        <item x="434"/>
        <item x="652"/>
        <item x="450"/>
        <item x="885"/>
        <item x="667"/>
        <item x="657"/>
        <item x="893"/>
        <item x="834"/>
        <item x="423"/>
        <item x="142"/>
        <item x="337"/>
        <item x="158"/>
        <item x="804"/>
        <item x="786"/>
        <item x="451"/>
        <item x="609"/>
        <item x="363"/>
        <item x="548"/>
        <item x="11"/>
        <item x="195"/>
        <item x="13"/>
        <item x="367"/>
        <item x="91"/>
        <item x="915"/>
        <item x="32"/>
        <item x="484"/>
        <item x="967"/>
        <item x="118"/>
        <item x="803"/>
        <item x="765"/>
        <item x="732"/>
        <item x="306"/>
        <item x="678"/>
        <item x="673"/>
        <item x="448"/>
        <item x="247"/>
        <item x="221"/>
        <item x="113"/>
        <item x="233"/>
        <item x="432"/>
        <item x="238"/>
        <item x="569"/>
        <item x="920"/>
        <item x="471"/>
        <item x="206"/>
        <item x="584"/>
        <item x="870"/>
        <item x="945"/>
        <item x="234"/>
        <item x="982"/>
        <item x="214"/>
        <item x="582"/>
        <item x="449"/>
        <item x="586"/>
        <item x="549"/>
        <item x="978"/>
        <item x="431"/>
        <item x="496"/>
        <item x="12"/>
        <item x="393"/>
        <item x="75"/>
        <item x="291"/>
        <item x="617"/>
        <item x="286"/>
        <item x="547"/>
        <item x="200"/>
        <item x="701"/>
        <item x="517"/>
        <item x="925"/>
        <item x="875"/>
        <item x="308"/>
        <item x="169"/>
        <item x="420"/>
        <item x="680"/>
        <item x="937"/>
        <item x="598"/>
        <item x="41"/>
        <item x="377"/>
        <item x="662"/>
        <item x="752"/>
        <item x="314"/>
        <item x="684"/>
        <item x="385"/>
        <item x="388"/>
        <item x="498"/>
        <item x="511"/>
        <item x="39"/>
        <item x="571"/>
        <item x="904"/>
        <item x="956"/>
        <item x="416"/>
        <item x="301"/>
        <item x="968"/>
        <item x="236"/>
        <item x="148"/>
        <item x="756"/>
        <item x="670"/>
        <item x="947"/>
        <item x="65"/>
        <item x="419"/>
        <item x="993"/>
        <item x="607"/>
        <item x="124"/>
        <item x="63"/>
        <item x="901"/>
        <item x="446"/>
        <item x="170"/>
        <item x="960"/>
        <item x="503"/>
        <item x="742"/>
        <item x="649"/>
        <item x="578"/>
        <item x="725"/>
        <item x="210"/>
        <item x="518"/>
        <item x="123"/>
        <item x="51"/>
        <item x="777"/>
        <item x="154"/>
        <item x="808"/>
        <item x="433"/>
        <item x="671"/>
        <item x="421"/>
        <item x="555"/>
        <item x="361"/>
        <item x="624"/>
        <item x="156"/>
        <item x="485"/>
        <item x="108"/>
        <item x="974"/>
        <item x="611"/>
        <item x="274"/>
        <item x="629"/>
        <item x="927"/>
        <item x="276"/>
        <item x="865"/>
        <item x="137"/>
        <item x="273"/>
        <item x="42"/>
        <item x="952"/>
        <item x="717"/>
        <item x="265"/>
        <item x="499"/>
        <item x="90"/>
        <item x="270"/>
        <item x="370"/>
        <item x="480"/>
        <item x="204"/>
        <item x="675"/>
        <item x="360"/>
        <item x="164"/>
        <item x="472"/>
        <item x="237"/>
        <item x="912"/>
        <item x="235"/>
        <item x="359"/>
        <item x="550"/>
        <item x="272"/>
        <item x="688"/>
        <item x="439"/>
        <item x="153"/>
        <item x="489"/>
        <item x="425"/>
        <item x="205"/>
        <item x="878"/>
        <item x="93"/>
        <item x="332"/>
        <item x="837"/>
        <item x="897"/>
        <item x="736"/>
        <item x="490"/>
        <item x="653"/>
        <item x="495"/>
        <item x="669"/>
        <item x="846"/>
        <item x="321"/>
        <item x="727"/>
        <item x="58"/>
        <item x="391"/>
        <item x="190"/>
        <item x="520"/>
        <item x="929"/>
        <item x="250"/>
        <item x="79"/>
        <item x="942"/>
        <item x="700"/>
        <item x="955"/>
        <item x="998"/>
        <item x="220"/>
        <item x="902"/>
        <item x="630"/>
        <item x="552"/>
        <item x="556"/>
        <item x="545"/>
        <item x="889"/>
        <item x="201"/>
        <item x="536"/>
        <item x="570"/>
        <item x="959"/>
        <item x="160"/>
        <item x="949"/>
        <item x="315"/>
        <item x="116"/>
        <item x="350"/>
        <item x="933"/>
        <item x="341"/>
        <item x="523"/>
        <item x="877"/>
        <item x="827"/>
        <item x="473"/>
        <item x="735"/>
        <item x="758"/>
        <item x="794"/>
        <item x="695"/>
        <item x="390"/>
        <item x="178"/>
        <item x="77"/>
        <item x="353"/>
        <item x="2"/>
        <item x="581"/>
        <item x="299"/>
        <item x="986"/>
        <item x="414"/>
        <item x="830"/>
        <item x="913"/>
        <item x="143"/>
        <item x="494"/>
        <item x="521"/>
        <item x="614"/>
        <item x="175"/>
        <item x="443"/>
        <item x="76"/>
        <item x="541"/>
        <item x="665"/>
        <item x="335"/>
        <item x="48"/>
        <item x="257"/>
        <item x="567"/>
        <item x="457"/>
        <item x="166"/>
        <item x="618"/>
        <item x="192"/>
        <item x="979"/>
        <item x="469"/>
        <item x="751"/>
        <item x="774"/>
        <item x="128"/>
        <item x="31"/>
        <item x="468"/>
        <item x="562"/>
        <item x="46"/>
        <item x="988"/>
        <item x="506"/>
        <item t="default"/>
      </items>
    </pivotField>
    <pivotField showAll="0"/>
    <pivotField showAll="0"/>
    <pivotField showAll="0"/>
    <pivotField dataField="1" showAll="0"/>
    <pivotField showAll="0"/>
    <pivotField showAll="0"/>
    <pivotField axis="axisRow" showAll="0">
      <items count="7">
        <item x="5"/>
        <item x="2"/>
        <item x="3"/>
        <item x="1"/>
        <item x="4"/>
        <item x="0"/>
        <item t="default"/>
      </items>
    </pivotField>
    <pivotField showAll="0"/>
    <pivotField showAll="0"/>
    <pivotField showAll="0">
      <items count="5">
        <item x="1"/>
        <item x="2"/>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7">
    <i>
      <x/>
    </i>
    <i>
      <x v="1"/>
    </i>
    <i>
      <x v="2"/>
    </i>
    <i>
      <x v="3"/>
    </i>
    <i>
      <x v="4"/>
    </i>
    <i>
      <x v="5"/>
    </i>
    <i t="grand">
      <x/>
    </i>
  </rowItems>
  <colFields count="1">
    <field x="-2"/>
  </colFields>
  <colItems count="2">
    <i>
      <x/>
    </i>
    <i i="1">
      <x v="1"/>
    </i>
  </colItems>
  <dataFields count="2">
    <dataField name="Count of Transaction_ID" fld="0" subtotal="count" baseField="8" baseItem="0"/>
    <dataField name="Sum of Total_Cost"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EAE53C-4C4A-4AED-A8FB-2C60547C8FF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6">
    <pivotField showAll="0"/>
    <pivotField numFmtId="22" showAll="0">
      <items count="1000">
        <item x="267"/>
        <item x="23"/>
        <item x="215"/>
        <item x="726"/>
        <item x="437"/>
        <item x="311"/>
        <item x="941"/>
        <item x="754"/>
        <item x="544"/>
        <item x="706"/>
        <item x="508"/>
        <item x="466"/>
        <item x="100"/>
        <item x="462"/>
        <item x="430"/>
        <item x="899"/>
        <item x="651"/>
        <item x="769"/>
        <item x="639"/>
        <item x="839"/>
        <item x="597"/>
        <item x="553"/>
        <item x="594"/>
        <item x="330"/>
        <item x="103"/>
        <item x="191"/>
        <item x="444"/>
        <item x="554"/>
        <item x="25"/>
        <item x="973"/>
        <item x="641"/>
        <item x="227"/>
        <item x="690"/>
        <item x="985"/>
        <item x="29"/>
        <item x="464"/>
        <item x="587"/>
        <item x="280"/>
        <item x="202"/>
        <item x="783"/>
        <item x="861"/>
        <item x="474"/>
        <item x="453"/>
        <item x="243"/>
        <item x="295"/>
        <item x="770"/>
        <item x="74"/>
        <item x="895"/>
        <item x="381"/>
        <item x="627"/>
        <item x="745"/>
        <item x="10"/>
        <item x="502"/>
        <item x="364"/>
        <item x="692"/>
        <item x="965"/>
        <item x="346"/>
        <item x="27"/>
        <item x="603"/>
        <item x="185"/>
        <item x="894"/>
        <item x="67"/>
        <item x="664"/>
        <item x="403"/>
        <item x="580"/>
        <item x="543"/>
        <item x="14"/>
        <item x="924"/>
        <item x="566"/>
        <item x="811"/>
        <item x="916"/>
        <item x="798"/>
        <item x="155"/>
        <item x="821"/>
        <item x="850"/>
        <item x="242"/>
        <item x="631"/>
        <item x="681"/>
        <item x="814"/>
        <item x="88"/>
        <item x="666"/>
        <item x="410"/>
        <item x="832"/>
        <item x="761"/>
        <item x="342"/>
        <item x="718"/>
        <item x="135"/>
        <item x="561"/>
        <item x="921"/>
        <item x="810"/>
        <item x="52"/>
        <item x="71"/>
        <item x="507"/>
        <item x="573"/>
        <item x="80"/>
        <item x="883"/>
        <item x="738"/>
        <item x="685"/>
        <item x="576"/>
        <item x="922"/>
        <item x="459"/>
        <item x="743"/>
        <item x="283"/>
        <item x="37"/>
        <item x="935"/>
        <item x="263"/>
        <item x="290"/>
        <item x="801"/>
        <item x="424"/>
        <item x="302"/>
        <item x="969"/>
        <item x="744"/>
        <item x="923"/>
        <item x="347"/>
        <item x="438"/>
        <item x="642"/>
        <item x="487"/>
        <item x="892"/>
        <item x="948"/>
        <item x="316"/>
        <item x="378"/>
        <item x="168"/>
        <item x="59"/>
        <item x="384"/>
        <item x="326"/>
        <item x="482"/>
        <item x="694"/>
        <item x="712"/>
        <item x="730"/>
        <item x="971"/>
        <item x="817"/>
        <item x="38"/>
        <item x="840"/>
        <item x="411"/>
        <item x="542"/>
        <item x="844"/>
        <item x="194"/>
        <item x="509"/>
        <item x="721"/>
        <item x="152"/>
        <item x="99"/>
        <item x="516"/>
        <item x="297"/>
        <item x="723"/>
        <item x="645"/>
        <item x="731"/>
        <item x="531"/>
        <item x="402"/>
        <item x="903"/>
        <item x="371"/>
        <item x="163"/>
        <item x="792"/>
        <item x="362"/>
        <item x="764"/>
        <item x="773"/>
        <item x="505"/>
        <item x="510"/>
        <item x="122"/>
        <item x="757"/>
        <item x="426"/>
        <item x="640"/>
        <item x="862"/>
        <item x="625"/>
        <item x="842"/>
        <item x="563"/>
        <item x="7"/>
        <item x="796"/>
        <item x="401"/>
        <item x="981"/>
        <item x="293"/>
        <item x="83"/>
        <item x="389"/>
        <item x="281"/>
        <item x="917"/>
        <item x="619"/>
        <item x="70"/>
        <item x="26"/>
        <item x="86"/>
        <item x="150"/>
        <item x="407"/>
        <item x="843"/>
        <item x="946"/>
        <item x="790"/>
        <item x="212"/>
        <item x="339"/>
        <item x="344"/>
        <item x="317"/>
        <item x="886"/>
        <item x="994"/>
        <item x="224"/>
        <item x="729"/>
        <item x="382"/>
        <item x="836"/>
        <item x="43"/>
        <item x="855"/>
        <item x="193"/>
        <item x="987"/>
        <item x="36"/>
        <item x="534"/>
        <item x="167"/>
        <item x="755"/>
        <item x="481"/>
        <item x="454"/>
        <item x="134"/>
        <item x="85"/>
        <item x="129"/>
        <item x="396"/>
        <item x="3"/>
        <item x="807"/>
        <item x="219"/>
        <item x="604"/>
        <item x="173"/>
        <item x="292"/>
        <item x="512"/>
        <item x="348"/>
        <item x="860"/>
        <item x="716"/>
        <item x="739"/>
        <item x="182"/>
        <item x="647"/>
        <item x="408"/>
        <item x="269"/>
        <item x="497"/>
        <item x="248"/>
        <item x="772"/>
        <item x="970"/>
        <item x="312"/>
        <item x="181"/>
        <item x="435"/>
        <item x="355"/>
        <item x="140"/>
        <item x="4"/>
        <item x="343"/>
        <item x="768"/>
        <item x="753"/>
        <item x="622"/>
        <item x="253"/>
        <item x="565"/>
        <item x="976"/>
        <item x="501"/>
        <item x="373"/>
        <item x="914"/>
        <item x="417"/>
        <item x="526"/>
        <item x="53"/>
        <item x="15"/>
        <item x="251"/>
        <item x="470"/>
        <item x="117"/>
        <item x="78"/>
        <item x="698"/>
        <item x="282"/>
        <item x="532"/>
        <item x="683"/>
        <item x="816"/>
        <item x="198"/>
        <item x="996"/>
        <item x="320"/>
        <item x="674"/>
        <item x="644"/>
        <item x="601"/>
        <item x="19"/>
        <item x="610"/>
        <item x="591"/>
        <item x="222"/>
        <item x="307"/>
        <item x="515"/>
        <item x="659"/>
        <item x="679"/>
        <item x="728"/>
        <item x="737"/>
        <item x="851"/>
        <item x="397"/>
        <item x="600"/>
        <item x="228"/>
        <item x="719"/>
        <item x="303"/>
        <item x="868"/>
        <item x="136"/>
        <item x="825"/>
        <item x="911"/>
        <item x="592"/>
        <item x="540"/>
        <item x="333"/>
        <item x="568"/>
        <item x="528"/>
        <item x="693"/>
        <item x="488"/>
        <item x="813"/>
        <item x="101"/>
        <item x="835"/>
        <item x="560"/>
        <item x="278"/>
        <item x="147"/>
        <item x="400"/>
        <item x="823"/>
        <item x="463"/>
        <item x="995"/>
        <item x="89"/>
        <item x="279"/>
        <item x="815"/>
        <item x="919"/>
        <item x="876"/>
        <item x="189"/>
        <item x="386"/>
        <item x="477"/>
        <item x="8"/>
        <item x="575"/>
        <item x="800"/>
        <item x="138"/>
        <item x="890"/>
        <item x="207"/>
        <item x="94"/>
        <item x="50"/>
        <item x="149"/>
        <item x="880"/>
        <item x="289"/>
        <item x="724"/>
        <item x="616"/>
        <item x="249"/>
        <item x="776"/>
        <item x="174"/>
        <item x="151"/>
        <item x="323"/>
        <item x="132"/>
        <item x="896"/>
        <item x="327"/>
        <item x="872"/>
        <item x="380"/>
        <item x="105"/>
        <item x="648"/>
        <item x="366"/>
        <item x="110"/>
        <item x="590"/>
        <item x="932"/>
        <item x="165"/>
        <item x="805"/>
        <item x="404"/>
        <item x="125"/>
        <item x="211"/>
        <item x="294"/>
        <item x="703"/>
        <item x="873"/>
        <item x="898"/>
        <item x="96"/>
        <item x="412"/>
        <item x="628"/>
        <item x="788"/>
        <item x="938"/>
        <item x="387"/>
        <item x="368"/>
        <item x="585"/>
        <item x="697"/>
        <item x="749"/>
        <item x="954"/>
        <item x="957"/>
        <item x="759"/>
        <item x="963"/>
        <item x="127"/>
        <item x="633"/>
        <item x="300"/>
        <item x="820"/>
        <item x="422"/>
        <item x="22"/>
        <item x="740"/>
        <item x="73"/>
        <item x="785"/>
        <item x="871"/>
        <item x="646"/>
        <item x="180"/>
        <item x="119"/>
        <item x="62"/>
        <item x="49"/>
        <item x="699"/>
        <item x="331"/>
        <item x="64"/>
        <item x="372"/>
        <item x="962"/>
        <item x="708"/>
        <item x="660"/>
        <item x="806"/>
        <item x="831"/>
        <item x="9"/>
        <item x="229"/>
        <item x="621"/>
        <item x="232"/>
        <item x="409"/>
        <item x="857"/>
        <item x="288"/>
        <item x="530"/>
        <item x="551"/>
        <item x="845"/>
        <item x="522"/>
        <item x="345"/>
        <item x="114"/>
        <item x="376"/>
        <item x="884"/>
        <item x="676"/>
        <item x="225"/>
        <item x="209"/>
        <item x="771"/>
        <item x="722"/>
        <item x="936"/>
        <item x="255"/>
        <item x="172"/>
        <item x="686"/>
        <item x="537"/>
        <item x="866"/>
        <item x="87"/>
        <item x="588"/>
        <item x="218"/>
        <item x="475"/>
        <item x="504"/>
        <item x="264"/>
        <item x="881"/>
        <item x="780"/>
        <item x="572"/>
        <item x="203"/>
        <item x="82"/>
        <item x="658"/>
        <item x="336"/>
        <item x="17"/>
        <item x="217"/>
        <item x="602"/>
        <item x="436"/>
        <item x="546"/>
        <item x="277"/>
        <item x="741"/>
        <item x="352"/>
        <item x="213"/>
        <item x="856"/>
        <item x="356"/>
        <item x="5"/>
        <item x="493"/>
        <item x="797"/>
        <item x="157"/>
        <item x="789"/>
        <item x="16"/>
        <item x="595"/>
        <item x="766"/>
        <item x="246"/>
        <item x="61"/>
        <item x="418"/>
        <item x="68"/>
        <item x="826"/>
        <item x="20"/>
        <item x="793"/>
        <item x="608"/>
        <item x="858"/>
        <item x="325"/>
        <item x="650"/>
        <item x="60"/>
        <item x="479"/>
        <item x="558"/>
        <item x="812"/>
        <item x="415"/>
        <item x="324"/>
        <item x="529"/>
        <item x="663"/>
        <item x="159"/>
        <item x="928"/>
        <item x="57"/>
        <item x="989"/>
        <item x="900"/>
        <item x="447"/>
        <item x="782"/>
        <item x="709"/>
        <item x="442"/>
        <item x="781"/>
        <item x="365"/>
        <item x="492"/>
        <item x="259"/>
        <item x="115"/>
        <item x="351"/>
        <item x="262"/>
        <item x="559"/>
        <item x="179"/>
        <item x="383"/>
        <item x="632"/>
        <item x="824"/>
        <item x="778"/>
        <item x="564"/>
        <item x="183"/>
        <item x="713"/>
        <item x="186"/>
        <item x="848"/>
        <item x="677"/>
        <item x="997"/>
        <item x="112"/>
        <item x="944"/>
        <item x="519"/>
        <item x="465"/>
        <item x="906"/>
        <item x="539"/>
        <item x="864"/>
        <item x="643"/>
        <item x="0"/>
        <item x="691"/>
        <item x="714"/>
        <item x="357"/>
        <item x="334"/>
        <item x="340"/>
        <item x="199"/>
        <item x="636"/>
        <item x="95"/>
        <item x="298"/>
        <item x="869"/>
        <item x="910"/>
        <item x="305"/>
        <item x="853"/>
        <item x="791"/>
        <item x="256"/>
        <item x="460"/>
        <item x="802"/>
        <item x="655"/>
        <item x="338"/>
        <item x="491"/>
        <item x="958"/>
        <item x="467"/>
        <item x="934"/>
        <item x="589"/>
        <item x="637"/>
        <item x="394"/>
        <item x="687"/>
        <item x="358"/>
        <item x="612"/>
        <item x="184"/>
        <item x="161"/>
        <item x="296"/>
        <item x="748"/>
        <item x="891"/>
        <item x="513"/>
        <item x="354"/>
        <item x="121"/>
        <item x="476"/>
        <item x="33"/>
        <item x="620"/>
        <item x="779"/>
        <item x="500"/>
        <item x="613"/>
        <item x="244"/>
        <item x="623"/>
        <item x="882"/>
        <item x="66"/>
        <item x="656"/>
        <item x="514"/>
        <item x="252"/>
        <item x="428"/>
        <item x="966"/>
        <item x="196"/>
        <item x="440"/>
        <item x="216"/>
        <item x="874"/>
        <item x="285"/>
        <item x="56"/>
        <item x="260"/>
        <item x="81"/>
        <item x="682"/>
        <item x="106"/>
        <item x="838"/>
        <item x="230"/>
        <item x="483"/>
        <item x="349"/>
        <item x="328"/>
        <item x="822"/>
        <item x="84"/>
        <item x="40"/>
        <item x="208"/>
        <item x="445"/>
        <item x="583"/>
        <item x="887"/>
        <item x="809"/>
        <item x="197"/>
        <item x="984"/>
        <item x="918"/>
        <item x="841"/>
        <item x="733"/>
        <item x="557"/>
        <item x="746"/>
        <item x="983"/>
        <item x="55"/>
        <item x="863"/>
        <item x="931"/>
        <item x="930"/>
        <item x="441"/>
        <item x="593"/>
        <item x="661"/>
        <item x="972"/>
        <item x="867"/>
        <item x="750"/>
        <item x="950"/>
        <item x="909"/>
        <item x="849"/>
        <item x="133"/>
        <item x="720"/>
        <item x="705"/>
        <item x="18"/>
        <item x="702"/>
        <item x="626"/>
        <item x="847"/>
        <item x="319"/>
        <item x="275"/>
        <item x="97"/>
        <item x="711"/>
        <item x="734"/>
        <item x="126"/>
        <item x="392"/>
        <item x="28"/>
        <item x="599"/>
        <item x="975"/>
        <item x="943"/>
        <item x="310"/>
        <item x="69"/>
        <item x="715"/>
        <item x="596"/>
        <item x="696"/>
        <item x="833"/>
        <item x="399"/>
        <item x="527"/>
        <item x="574"/>
        <item x="395"/>
        <item x="762"/>
        <item x="940"/>
        <item x="369"/>
        <item x="239"/>
        <item x="638"/>
        <item x="131"/>
        <item x="767"/>
        <item x="905"/>
        <item x="606"/>
        <item x="130"/>
        <item x="907"/>
        <item x="538"/>
        <item x="188"/>
        <item x="405"/>
        <item x="231"/>
        <item x="187"/>
        <item x="406"/>
        <item x="888"/>
        <item x="44"/>
        <item x="859"/>
        <item x="111"/>
        <item x="109"/>
        <item x="689"/>
        <item x="926"/>
        <item x="266"/>
        <item x="747"/>
        <item x="795"/>
        <item x="980"/>
        <item x="98"/>
        <item x="329"/>
        <item x="35"/>
        <item x="879"/>
        <item x="828"/>
        <item x="284"/>
        <item x="577"/>
        <item x="102"/>
        <item x="961"/>
        <item x="524"/>
        <item x="634"/>
        <item x="162"/>
        <item x="72"/>
        <item x="605"/>
        <item x="672"/>
        <item x="45"/>
        <item x="429"/>
        <item x="374"/>
        <item x="139"/>
        <item x="177"/>
        <item x="226"/>
        <item x="144"/>
        <item x="763"/>
        <item x="240"/>
        <item x="579"/>
        <item x="261"/>
        <item x="991"/>
        <item x="819"/>
        <item x="654"/>
        <item x="241"/>
        <item x="615"/>
        <item x="427"/>
        <item x="245"/>
        <item x="271"/>
        <item x="304"/>
        <item x="852"/>
        <item x="456"/>
        <item x="799"/>
        <item x="104"/>
        <item x="313"/>
        <item x="461"/>
        <item x="21"/>
        <item x="146"/>
        <item x="990"/>
        <item x="287"/>
        <item x="525"/>
        <item x="964"/>
        <item x="992"/>
        <item x="6"/>
        <item x="322"/>
        <item x="30"/>
        <item x="668"/>
        <item x="379"/>
        <item x="635"/>
        <item x="268"/>
        <item x="704"/>
        <item x="486"/>
        <item x="977"/>
        <item x="458"/>
        <item x="908"/>
        <item x="375"/>
        <item x="760"/>
        <item x="478"/>
        <item x="176"/>
        <item x="854"/>
        <item x="533"/>
        <item x="452"/>
        <item x="309"/>
        <item x="107"/>
        <item x="318"/>
        <item x="787"/>
        <item x="710"/>
        <item x="535"/>
        <item x="953"/>
        <item x="707"/>
        <item x="398"/>
        <item x="47"/>
        <item x="145"/>
        <item x="34"/>
        <item x="784"/>
        <item x="951"/>
        <item x="92"/>
        <item x="413"/>
        <item x="775"/>
        <item x="171"/>
        <item x="939"/>
        <item x="818"/>
        <item x="455"/>
        <item x="829"/>
        <item x="120"/>
        <item x="24"/>
        <item x="1"/>
        <item x="254"/>
        <item x="223"/>
        <item x="54"/>
        <item x="258"/>
        <item x="141"/>
        <item x="434"/>
        <item x="652"/>
        <item x="450"/>
        <item x="885"/>
        <item x="667"/>
        <item x="657"/>
        <item x="893"/>
        <item x="834"/>
        <item x="423"/>
        <item x="142"/>
        <item x="337"/>
        <item x="158"/>
        <item x="804"/>
        <item x="786"/>
        <item x="451"/>
        <item x="609"/>
        <item x="363"/>
        <item x="548"/>
        <item x="11"/>
        <item x="195"/>
        <item x="13"/>
        <item x="367"/>
        <item x="91"/>
        <item x="915"/>
        <item x="32"/>
        <item x="484"/>
        <item x="967"/>
        <item x="118"/>
        <item x="803"/>
        <item x="765"/>
        <item x="732"/>
        <item x="306"/>
        <item x="678"/>
        <item x="673"/>
        <item x="448"/>
        <item x="247"/>
        <item x="221"/>
        <item x="113"/>
        <item x="233"/>
        <item x="432"/>
        <item x="238"/>
        <item x="569"/>
        <item x="920"/>
        <item x="471"/>
        <item x="206"/>
        <item x="584"/>
        <item x="870"/>
        <item x="945"/>
        <item x="234"/>
        <item x="982"/>
        <item x="214"/>
        <item x="582"/>
        <item x="449"/>
        <item x="586"/>
        <item x="549"/>
        <item x="978"/>
        <item x="431"/>
        <item x="496"/>
        <item x="12"/>
        <item x="393"/>
        <item x="75"/>
        <item x="291"/>
        <item x="617"/>
        <item x="286"/>
        <item x="547"/>
        <item x="200"/>
        <item x="701"/>
        <item x="517"/>
        <item x="925"/>
        <item x="875"/>
        <item x="308"/>
        <item x="169"/>
        <item x="420"/>
        <item x="680"/>
        <item x="937"/>
        <item x="598"/>
        <item x="41"/>
        <item x="377"/>
        <item x="662"/>
        <item x="752"/>
        <item x="314"/>
        <item x="684"/>
        <item x="385"/>
        <item x="388"/>
        <item x="498"/>
        <item x="511"/>
        <item x="39"/>
        <item x="571"/>
        <item x="904"/>
        <item x="956"/>
        <item x="416"/>
        <item x="301"/>
        <item x="968"/>
        <item x="236"/>
        <item x="148"/>
        <item x="756"/>
        <item x="670"/>
        <item x="947"/>
        <item x="65"/>
        <item x="419"/>
        <item x="993"/>
        <item x="607"/>
        <item x="124"/>
        <item x="63"/>
        <item x="901"/>
        <item x="446"/>
        <item x="170"/>
        <item x="960"/>
        <item x="503"/>
        <item x="742"/>
        <item x="649"/>
        <item x="578"/>
        <item x="725"/>
        <item x="210"/>
        <item x="518"/>
        <item x="123"/>
        <item x="51"/>
        <item x="777"/>
        <item x="154"/>
        <item x="808"/>
        <item x="433"/>
        <item x="671"/>
        <item x="421"/>
        <item x="555"/>
        <item x="361"/>
        <item x="624"/>
        <item x="156"/>
        <item x="485"/>
        <item x="108"/>
        <item x="974"/>
        <item x="611"/>
        <item x="274"/>
        <item x="629"/>
        <item x="927"/>
        <item x="276"/>
        <item x="865"/>
        <item x="137"/>
        <item x="273"/>
        <item x="42"/>
        <item x="952"/>
        <item x="717"/>
        <item x="265"/>
        <item x="499"/>
        <item x="90"/>
        <item x="270"/>
        <item x="370"/>
        <item x="480"/>
        <item x="204"/>
        <item x="675"/>
        <item x="360"/>
        <item x="164"/>
        <item x="472"/>
        <item x="237"/>
        <item x="912"/>
        <item x="235"/>
        <item x="359"/>
        <item x="550"/>
        <item x="272"/>
        <item x="688"/>
        <item x="439"/>
        <item x="153"/>
        <item x="489"/>
        <item x="425"/>
        <item x="205"/>
        <item x="878"/>
        <item x="93"/>
        <item x="332"/>
        <item x="837"/>
        <item x="897"/>
        <item x="736"/>
        <item x="490"/>
        <item x="653"/>
        <item x="495"/>
        <item x="669"/>
        <item x="846"/>
        <item x="321"/>
        <item x="727"/>
        <item x="58"/>
        <item x="391"/>
        <item x="190"/>
        <item x="520"/>
        <item x="929"/>
        <item x="250"/>
        <item x="79"/>
        <item x="942"/>
        <item x="700"/>
        <item x="955"/>
        <item x="998"/>
        <item x="220"/>
        <item x="902"/>
        <item x="630"/>
        <item x="552"/>
        <item x="556"/>
        <item x="545"/>
        <item x="889"/>
        <item x="201"/>
        <item x="536"/>
        <item x="570"/>
        <item x="959"/>
        <item x="160"/>
        <item x="949"/>
        <item x="315"/>
        <item x="116"/>
        <item x="350"/>
        <item x="933"/>
        <item x="341"/>
        <item x="523"/>
        <item x="877"/>
        <item x="827"/>
        <item x="473"/>
        <item x="735"/>
        <item x="758"/>
        <item x="794"/>
        <item x="695"/>
        <item x="390"/>
        <item x="178"/>
        <item x="77"/>
        <item x="353"/>
        <item x="2"/>
        <item x="581"/>
        <item x="299"/>
        <item x="986"/>
        <item x="414"/>
        <item x="830"/>
        <item x="913"/>
        <item x="143"/>
        <item x="494"/>
        <item x="521"/>
        <item x="614"/>
        <item x="175"/>
        <item x="443"/>
        <item x="76"/>
        <item x="541"/>
        <item x="665"/>
        <item x="335"/>
        <item x="48"/>
        <item x="257"/>
        <item x="567"/>
        <item x="457"/>
        <item x="166"/>
        <item x="618"/>
        <item x="192"/>
        <item x="979"/>
        <item x="469"/>
        <item x="751"/>
        <item x="774"/>
        <item x="128"/>
        <item x="31"/>
        <item x="468"/>
        <item x="562"/>
        <item x="46"/>
        <item x="988"/>
        <item x="506"/>
        <item t="default"/>
      </items>
    </pivotField>
    <pivotField showAll="0"/>
    <pivotField showAll="0"/>
    <pivotField showAll="0"/>
    <pivotField dataField="1" showAll="0"/>
    <pivotField showAll="0"/>
    <pivotField showAll="0"/>
    <pivotField showAll="0"/>
    <pivotField showAll="0"/>
    <pivotField showAll="0"/>
    <pivotField axis="axisRow" showAll="0">
      <items count="5">
        <item x="1"/>
        <item x="2"/>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5">
    <i>
      <x/>
    </i>
    <i>
      <x v="1"/>
    </i>
    <i>
      <x v="2"/>
    </i>
    <i>
      <x v="3"/>
    </i>
    <i t="grand">
      <x/>
    </i>
  </rowItems>
  <colItems count="1">
    <i/>
  </colItems>
  <dataFields count="1">
    <dataField name="Sum of Total_Cost"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D6ECCC-B92B-49EB-B231-4CEDAF61F21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2" firstHeaderRow="0" firstDataRow="1" firstDataCol="1"/>
  <pivotFields count="16">
    <pivotField dataField="1" showAll="0"/>
    <pivotField numFmtId="22" showAll="0">
      <items count="1000">
        <item x="267"/>
        <item x="23"/>
        <item x="215"/>
        <item x="726"/>
        <item x="437"/>
        <item x="311"/>
        <item x="941"/>
        <item x="754"/>
        <item x="544"/>
        <item x="706"/>
        <item x="508"/>
        <item x="466"/>
        <item x="100"/>
        <item x="462"/>
        <item x="430"/>
        <item x="899"/>
        <item x="651"/>
        <item x="769"/>
        <item x="639"/>
        <item x="839"/>
        <item x="597"/>
        <item x="553"/>
        <item x="594"/>
        <item x="330"/>
        <item x="103"/>
        <item x="191"/>
        <item x="444"/>
        <item x="554"/>
        <item x="25"/>
        <item x="973"/>
        <item x="641"/>
        <item x="227"/>
        <item x="690"/>
        <item x="985"/>
        <item x="29"/>
        <item x="464"/>
        <item x="587"/>
        <item x="280"/>
        <item x="202"/>
        <item x="783"/>
        <item x="861"/>
        <item x="474"/>
        <item x="453"/>
        <item x="243"/>
        <item x="295"/>
        <item x="770"/>
        <item x="74"/>
        <item x="895"/>
        <item x="381"/>
        <item x="627"/>
        <item x="745"/>
        <item x="10"/>
        <item x="502"/>
        <item x="364"/>
        <item x="692"/>
        <item x="965"/>
        <item x="346"/>
        <item x="27"/>
        <item x="603"/>
        <item x="185"/>
        <item x="894"/>
        <item x="67"/>
        <item x="664"/>
        <item x="403"/>
        <item x="580"/>
        <item x="543"/>
        <item x="14"/>
        <item x="924"/>
        <item x="566"/>
        <item x="811"/>
        <item x="916"/>
        <item x="798"/>
        <item x="155"/>
        <item x="821"/>
        <item x="850"/>
        <item x="242"/>
        <item x="631"/>
        <item x="681"/>
        <item x="814"/>
        <item x="88"/>
        <item x="666"/>
        <item x="410"/>
        <item x="832"/>
        <item x="761"/>
        <item x="342"/>
        <item x="718"/>
        <item x="135"/>
        <item x="561"/>
        <item x="921"/>
        <item x="810"/>
        <item x="52"/>
        <item x="71"/>
        <item x="507"/>
        <item x="573"/>
        <item x="80"/>
        <item x="883"/>
        <item x="738"/>
        <item x="685"/>
        <item x="576"/>
        <item x="922"/>
        <item x="459"/>
        <item x="743"/>
        <item x="283"/>
        <item x="37"/>
        <item x="935"/>
        <item x="263"/>
        <item x="290"/>
        <item x="801"/>
        <item x="424"/>
        <item x="302"/>
        <item x="969"/>
        <item x="744"/>
        <item x="923"/>
        <item x="347"/>
        <item x="438"/>
        <item x="642"/>
        <item x="487"/>
        <item x="892"/>
        <item x="948"/>
        <item x="316"/>
        <item x="378"/>
        <item x="168"/>
        <item x="59"/>
        <item x="384"/>
        <item x="326"/>
        <item x="482"/>
        <item x="694"/>
        <item x="712"/>
        <item x="730"/>
        <item x="971"/>
        <item x="817"/>
        <item x="38"/>
        <item x="840"/>
        <item x="411"/>
        <item x="542"/>
        <item x="844"/>
        <item x="194"/>
        <item x="509"/>
        <item x="721"/>
        <item x="152"/>
        <item x="99"/>
        <item x="516"/>
        <item x="297"/>
        <item x="723"/>
        <item x="645"/>
        <item x="731"/>
        <item x="531"/>
        <item x="402"/>
        <item x="903"/>
        <item x="371"/>
        <item x="163"/>
        <item x="792"/>
        <item x="362"/>
        <item x="764"/>
        <item x="773"/>
        <item x="505"/>
        <item x="510"/>
        <item x="122"/>
        <item x="757"/>
        <item x="426"/>
        <item x="640"/>
        <item x="862"/>
        <item x="625"/>
        <item x="842"/>
        <item x="563"/>
        <item x="7"/>
        <item x="796"/>
        <item x="401"/>
        <item x="981"/>
        <item x="293"/>
        <item x="83"/>
        <item x="389"/>
        <item x="281"/>
        <item x="917"/>
        <item x="619"/>
        <item x="70"/>
        <item x="26"/>
        <item x="86"/>
        <item x="150"/>
        <item x="407"/>
        <item x="843"/>
        <item x="946"/>
        <item x="790"/>
        <item x="212"/>
        <item x="339"/>
        <item x="344"/>
        <item x="317"/>
        <item x="886"/>
        <item x="994"/>
        <item x="224"/>
        <item x="729"/>
        <item x="382"/>
        <item x="836"/>
        <item x="43"/>
        <item x="855"/>
        <item x="193"/>
        <item x="987"/>
        <item x="36"/>
        <item x="534"/>
        <item x="167"/>
        <item x="755"/>
        <item x="481"/>
        <item x="454"/>
        <item x="134"/>
        <item x="85"/>
        <item x="129"/>
        <item x="396"/>
        <item x="3"/>
        <item x="807"/>
        <item x="219"/>
        <item x="604"/>
        <item x="173"/>
        <item x="292"/>
        <item x="512"/>
        <item x="348"/>
        <item x="860"/>
        <item x="716"/>
        <item x="739"/>
        <item x="182"/>
        <item x="647"/>
        <item x="408"/>
        <item x="269"/>
        <item x="497"/>
        <item x="248"/>
        <item x="772"/>
        <item x="970"/>
        <item x="312"/>
        <item x="181"/>
        <item x="435"/>
        <item x="355"/>
        <item x="140"/>
        <item x="4"/>
        <item x="343"/>
        <item x="768"/>
        <item x="753"/>
        <item x="622"/>
        <item x="253"/>
        <item x="565"/>
        <item x="976"/>
        <item x="501"/>
        <item x="373"/>
        <item x="914"/>
        <item x="417"/>
        <item x="526"/>
        <item x="53"/>
        <item x="15"/>
        <item x="251"/>
        <item x="470"/>
        <item x="117"/>
        <item x="78"/>
        <item x="698"/>
        <item x="282"/>
        <item x="532"/>
        <item x="683"/>
        <item x="816"/>
        <item x="198"/>
        <item x="996"/>
        <item x="320"/>
        <item x="674"/>
        <item x="644"/>
        <item x="601"/>
        <item x="19"/>
        <item x="610"/>
        <item x="591"/>
        <item x="222"/>
        <item x="307"/>
        <item x="515"/>
        <item x="659"/>
        <item x="679"/>
        <item x="728"/>
        <item x="737"/>
        <item x="851"/>
        <item x="397"/>
        <item x="600"/>
        <item x="228"/>
        <item x="719"/>
        <item x="303"/>
        <item x="868"/>
        <item x="136"/>
        <item x="825"/>
        <item x="911"/>
        <item x="592"/>
        <item x="540"/>
        <item x="333"/>
        <item x="568"/>
        <item x="528"/>
        <item x="693"/>
        <item x="488"/>
        <item x="813"/>
        <item x="101"/>
        <item x="835"/>
        <item x="560"/>
        <item x="278"/>
        <item x="147"/>
        <item x="400"/>
        <item x="823"/>
        <item x="463"/>
        <item x="995"/>
        <item x="89"/>
        <item x="279"/>
        <item x="815"/>
        <item x="919"/>
        <item x="876"/>
        <item x="189"/>
        <item x="386"/>
        <item x="477"/>
        <item x="8"/>
        <item x="575"/>
        <item x="800"/>
        <item x="138"/>
        <item x="890"/>
        <item x="207"/>
        <item x="94"/>
        <item x="50"/>
        <item x="149"/>
        <item x="880"/>
        <item x="289"/>
        <item x="724"/>
        <item x="616"/>
        <item x="249"/>
        <item x="776"/>
        <item x="174"/>
        <item x="151"/>
        <item x="323"/>
        <item x="132"/>
        <item x="896"/>
        <item x="327"/>
        <item x="872"/>
        <item x="380"/>
        <item x="105"/>
        <item x="648"/>
        <item x="366"/>
        <item x="110"/>
        <item x="590"/>
        <item x="932"/>
        <item x="165"/>
        <item x="805"/>
        <item x="404"/>
        <item x="125"/>
        <item x="211"/>
        <item x="294"/>
        <item x="703"/>
        <item x="873"/>
        <item x="898"/>
        <item x="96"/>
        <item x="412"/>
        <item x="628"/>
        <item x="788"/>
        <item x="938"/>
        <item x="387"/>
        <item x="368"/>
        <item x="585"/>
        <item x="697"/>
        <item x="749"/>
        <item x="954"/>
        <item x="957"/>
        <item x="759"/>
        <item x="963"/>
        <item x="127"/>
        <item x="633"/>
        <item x="300"/>
        <item x="820"/>
        <item x="422"/>
        <item x="22"/>
        <item x="740"/>
        <item x="73"/>
        <item x="785"/>
        <item x="871"/>
        <item x="646"/>
        <item x="180"/>
        <item x="119"/>
        <item x="62"/>
        <item x="49"/>
        <item x="699"/>
        <item x="331"/>
        <item x="64"/>
        <item x="372"/>
        <item x="962"/>
        <item x="708"/>
        <item x="660"/>
        <item x="806"/>
        <item x="831"/>
        <item x="9"/>
        <item x="229"/>
        <item x="621"/>
        <item x="232"/>
        <item x="409"/>
        <item x="857"/>
        <item x="288"/>
        <item x="530"/>
        <item x="551"/>
        <item x="845"/>
        <item x="522"/>
        <item x="345"/>
        <item x="114"/>
        <item x="376"/>
        <item x="884"/>
        <item x="676"/>
        <item x="225"/>
        <item x="209"/>
        <item x="771"/>
        <item x="722"/>
        <item x="936"/>
        <item x="255"/>
        <item x="172"/>
        <item x="686"/>
        <item x="537"/>
        <item x="866"/>
        <item x="87"/>
        <item x="588"/>
        <item x="218"/>
        <item x="475"/>
        <item x="504"/>
        <item x="264"/>
        <item x="881"/>
        <item x="780"/>
        <item x="572"/>
        <item x="203"/>
        <item x="82"/>
        <item x="658"/>
        <item x="336"/>
        <item x="17"/>
        <item x="217"/>
        <item x="602"/>
        <item x="436"/>
        <item x="546"/>
        <item x="277"/>
        <item x="741"/>
        <item x="352"/>
        <item x="213"/>
        <item x="856"/>
        <item x="356"/>
        <item x="5"/>
        <item x="493"/>
        <item x="797"/>
        <item x="157"/>
        <item x="789"/>
        <item x="16"/>
        <item x="595"/>
        <item x="766"/>
        <item x="246"/>
        <item x="61"/>
        <item x="418"/>
        <item x="68"/>
        <item x="826"/>
        <item x="20"/>
        <item x="793"/>
        <item x="608"/>
        <item x="858"/>
        <item x="325"/>
        <item x="650"/>
        <item x="60"/>
        <item x="479"/>
        <item x="558"/>
        <item x="812"/>
        <item x="415"/>
        <item x="324"/>
        <item x="529"/>
        <item x="663"/>
        <item x="159"/>
        <item x="928"/>
        <item x="57"/>
        <item x="989"/>
        <item x="900"/>
        <item x="447"/>
        <item x="782"/>
        <item x="709"/>
        <item x="442"/>
        <item x="781"/>
        <item x="365"/>
        <item x="492"/>
        <item x="259"/>
        <item x="115"/>
        <item x="351"/>
        <item x="262"/>
        <item x="559"/>
        <item x="179"/>
        <item x="383"/>
        <item x="632"/>
        <item x="824"/>
        <item x="778"/>
        <item x="564"/>
        <item x="183"/>
        <item x="713"/>
        <item x="186"/>
        <item x="848"/>
        <item x="677"/>
        <item x="997"/>
        <item x="112"/>
        <item x="944"/>
        <item x="519"/>
        <item x="465"/>
        <item x="906"/>
        <item x="539"/>
        <item x="864"/>
        <item x="643"/>
        <item x="0"/>
        <item x="691"/>
        <item x="714"/>
        <item x="357"/>
        <item x="334"/>
        <item x="340"/>
        <item x="199"/>
        <item x="636"/>
        <item x="95"/>
        <item x="298"/>
        <item x="869"/>
        <item x="910"/>
        <item x="305"/>
        <item x="853"/>
        <item x="791"/>
        <item x="256"/>
        <item x="460"/>
        <item x="802"/>
        <item x="655"/>
        <item x="338"/>
        <item x="491"/>
        <item x="958"/>
        <item x="467"/>
        <item x="934"/>
        <item x="589"/>
        <item x="637"/>
        <item x="394"/>
        <item x="687"/>
        <item x="358"/>
        <item x="612"/>
        <item x="184"/>
        <item x="161"/>
        <item x="296"/>
        <item x="748"/>
        <item x="891"/>
        <item x="513"/>
        <item x="354"/>
        <item x="121"/>
        <item x="476"/>
        <item x="33"/>
        <item x="620"/>
        <item x="779"/>
        <item x="500"/>
        <item x="613"/>
        <item x="244"/>
        <item x="623"/>
        <item x="882"/>
        <item x="66"/>
        <item x="656"/>
        <item x="514"/>
        <item x="252"/>
        <item x="428"/>
        <item x="966"/>
        <item x="196"/>
        <item x="440"/>
        <item x="216"/>
        <item x="874"/>
        <item x="285"/>
        <item x="56"/>
        <item x="260"/>
        <item x="81"/>
        <item x="682"/>
        <item x="106"/>
        <item x="838"/>
        <item x="230"/>
        <item x="483"/>
        <item x="349"/>
        <item x="328"/>
        <item x="822"/>
        <item x="84"/>
        <item x="40"/>
        <item x="208"/>
        <item x="445"/>
        <item x="583"/>
        <item x="887"/>
        <item x="809"/>
        <item x="197"/>
        <item x="984"/>
        <item x="918"/>
        <item x="841"/>
        <item x="733"/>
        <item x="557"/>
        <item x="746"/>
        <item x="983"/>
        <item x="55"/>
        <item x="863"/>
        <item x="931"/>
        <item x="930"/>
        <item x="441"/>
        <item x="593"/>
        <item x="661"/>
        <item x="972"/>
        <item x="867"/>
        <item x="750"/>
        <item x="950"/>
        <item x="909"/>
        <item x="849"/>
        <item x="133"/>
        <item x="720"/>
        <item x="705"/>
        <item x="18"/>
        <item x="702"/>
        <item x="626"/>
        <item x="847"/>
        <item x="319"/>
        <item x="275"/>
        <item x="97"/>
        <item x="711"/>
        <item x="734"/>
        <item x="126"/>
        <item x="392"/>
        <item x="28"/>
        <item x="599"/>
        <item x="975"/>
        <item x="943"/>
        <item x="310"/>
        <item x="69"/>
        <item x="715"/>
        <item x="596"/>
        <item x="696"/>
        <item x="833"/>
        <item x="399"/>
        <item x="527"/>
        <item x="574"/>
        <item x="395"/>
        <item x="762"/>
        <item x="940"/>
        <item x="369"/>
        <item x="239"/>
        <item x="638"/>
        <item x="131"/>
        <item x="767"/>
        <item x="905"/>
        <item x="606"/>
        <item x="130"/>
        <item x="907"/>
        <item x="538"/>
        <item x="188"/>
        <item x="405"/>
        <item x="231"/>
        <item x="187"/>
        <item x="406"/>
        <item x="888"/>
        <item x="44"/>
        <item x="859"/>
        <item x="111"/>
        <item x="109"/>
        <item x="689"/>
        <item x="926"/>
        <item x="266"/>
        <item x="747"/>
        <item x="795"/>
        <item x="980"/>
        <item x="98"/>
        <item x="329"/>
        <item x="35"/>
        <item x="879"/>
        <item x="828"/>
        <item x="284"/>
        <item x="577"/>
        <item x="102"/>
        <item x="961"/>
        <item x="524"/>
        <item x="634"/>
        <item x="162"/>
        <item x="72"/>
        <item x="605"/>
        <item x="672"/>
        <item x="45"/>
        <item x="429"/>
        <item x="374"/>
        <item x="139"/>
        <item x="177"/>
        <item x="226"/>
        <item x="144"/>
        <item x="763"/>
        <item x="240"/>
        <item x="579"/>
        <item x="261"/>
        <item x="991"/>
        <item x="819"/>
        <item x="654"/>
        <item x="241"/>
        <item x="615"/>
        <item x="427"/>
        <item x="245"/>
        <item x="271"/>
        <item x="304"/>
        <item x="852"/>
        <item x="456"/>
        <item x="799"/>
        <item x="104"/>
        <item x="313"/>
        <item x="461"/>
        <item x="21"/>
        <item x="146"/>
        <item x="990"/>
        <item x="287"/>
        <item x="525"/>
        <item x="964"/>
        <item x="992"/>
        <item x="6"/>
        <item x="322"/>
        <item x="30"/>
        <item x="668"/>
        <item x="379"/>
        <item x="635"/>
        <item x="268"/>
        <item x="704"/>
        <item x="486"/>
        <item x="977"/>
        <item x="458"/>
        <item x="908"/>
        <item x="375"/>
        <item x="760"/>
        <item x="478"/>
        <item x="176"/>
        <item x="854"/>
        <item x="533"/>
        <item x="452"/>
        <item x="309"/>
        <item x="107"/>
        <item x="318"/>
        <item x="787"/>
        <item x="710"/>
        <item x="535"/>
        <item x="953"/>
        <item x="707"/>
        <item x="398"/>
        <item x="47"/>
        <item x="145"/>
        <item x="34"/>
        <item x="784"/>
        <item x="951"/>
        <item x="92"/>
        <item x="413"/>
        <item x="775"/>
        <item x="171"/>
        <item x="939"/>
        <item x="818"/>
        <item x="455"/>
        <item x="829"/>
        <item x="120"/>
        <item x="24"/>
        <item x="1"/>
        <item x="254"/>
        <item x="223"/>
        <item x="54"/>
        <item x="258"/>
        <item x="141"/>
        <item x="434"/>
        <item x="652"/>
        <item x="450"/>
        <item x="885"/>
        <item x="667"/>
        <item x="657"/>
        <item x="893"/>
        <item x="834"/>
        <item x="423"/>
        <item x="142"/>
        <item x="337"/>
        <item x="158"/>
        <item x="804"/>
        <item x="786"/>
        <item x="451"/>
        <item x="609"/>
        <item x="363"/>
        <item x="548"/>
        <item x="11"/>
        <item x="195"/>
        <item x="13"/>
        <item x="367"/>
        <item x="91"/>
        <item x="915"/>
        <item x="32"/>
        <item x="484"/>
        <item x="967"/>
        <item x="118"/>
        <item x="803"/>
        <item x="765"/>
        <item x="732"/>
        <item x="306"/>
        <item x="678"/>
        <item x="673"/>
        <item x="448"/>
        <item x="247"/>
        <item x="221"/>
        <item x="113"/>
        <item x="233"/>
        <item x="432"/>
        <item x="238"/>
        <item x="569"/>
        <item x="920"/>
        <item x="471"/>
        <item x="206"/>
        <item x="584"/>
        <item x="870"/>
        <item x="945"/>
        <item x="234"/>
        <item x="982"/>
        <item x="214"/>
        <item x="582"/>
        <item x="449"/>
        <item x="586"/>
        <item x="549"/>
        <item x="978"/>
        <item x="431"/>
        <item x="496"/>
        <item x="12"/>
        <item x="393"/>
        <item x="75"/>
        <item x="291"/>
        <item x="617"/>
        <item x="286"/>
        <item x="547"/>
        <item x="200"/>
        <item x="701"/>
        <item x="517"/>
        <item x="925"/>
        <item x="875"/>
        <item x="308"/>
        <item x="169"/>
        <item x="420"/>
        <item x="680"/>
        <item x="937"/>
        <item x="598"/>
        <item x="41"/>
        <item x="377"/>
        <item x="662"/>
        <item x="752"/>
        <item x="314"/>
        <item x="684"/>
        <item x="385"/>
        <item x="388"/>
        <item x="498"/>
        <item x="511"/>
        <item x="39"/>
        <item x="571"/>
        <item x="904"/>
        <item x="956"/>
        <item x="416"/>
        <item x="301"/>
        <item x="968"/>
        <item x="236"/>
        <item x="148"/>
        <item x="756"/>
        <item x="670"/>
        <item x="947"/>
        <item x="65"/>
        <item x="419"/>
        <item x="993"/>
        <item x="607"/>
        <item x="124"/>
        <item x="63"/>
        <item x="901"/>
        <item x="446"/>
        <item x="170"/>
        <item x="960"/>
        <item x="503"/>
        <item x="742"/>
        <item x="649"/>
        <item x="578"/>
        <item x="725"/>
        <item x="210"/>
        <item x="518"/>
        <item x="123"/>
        <item x="51"/>
        <item x="777"/>
        <item x="154"/>
        <item x="808"/>
        <item x="433"/>
        <item x="671"/>
        <item x="421"/>
        <item x="555"/>
        <item x="361"/>
        <item x="624"/>
        <item x="156"/>
        <item x="485"/>
        <item x="108"/>
        <item x="974"/>
        <item x="611"/>
        <item x="274"/>
        <item x="629"/>
        <item x="927"/>
        <item x="276"/>
        <item x="865"/>
        <item x="137"/>
        <item x="273"/>
        <item x="42"/>
        <item x="952"/>
        <item x="717"/>
        <item x="265"/>
        <item x="499"/>
        <item x="90"/>
        <item x="270"/>
        <item x="370"/>
        <item x="480"/>
        <item x="204"/>
        <item x="675"/>
        <item x="360"/>
        <item x="164"/>
        <item x="472"/>
        <item x="237"/>
        <item x="912"/>
        <item x="235"/>
        <item x="359"/>
        <item x="550"/>
        <item x="272"/>
        <item x="688"/>
        <item x="439"/>
        <item x="153"/>
        <item x="489"/>
        <item x="425"/>
        <item x="205"/>
        <item x="878"/>
        <item x="93"/>
        <item x="332"/>
        <item x="837"/>
        <item x="897"/>
        <item x="736"/>
        <item x="490"/>
        <item x="653"/>
        <item x="495"/>
        <item x="669"/>
        <item x="846"/>
        <item x="321"/>
        <item x="727"/>
        <item x="58"/>
        <item x="391"/>
        <item x="190"/>
        <item x="520"/>
        <item x="929"/>
        <item x="250"/>
        <item x="79"/>
        <item x="942"/>
        <item x="700"/>
        <item x="955"/>
        <item x="998"/>
        <item x="220"/>
        <item x="902"/>
        <item x="630"/>
        <item x="552"/>
        <item x="556"/>
        <item x="545"/>
        <item x="889"/>
        <item x="201"/>
        <item x="536"/>
        <item x="570"/>
        <item x="959"/>
        <item x="160"/>
        <item x="949"/>
        <item x="315"/>
        <item x="116"/>
        <item x="350"/>
        <item x="933"/>
        <item x="341"/>
        <item x="523"/>
        <item x="877"/>
        <item x="827"/>
        <item x="473"/>
        <item x="735"/>
        <item x="758"/>
        <item x="794"/>
        <item x="695"/>
        <item x="390"/>
        <item x="178"/>
        <item x="77"/>
        <item x="353"/>
        <item x="2"/>
        <item x="581"/>
        <item x="299"/>
        <item x="986"/>
        <item x="414"/>
        <item x="830"/>
        <item x="913"/>
        <item x="143"/>
        <item x="494"/>
        <item x="521"/>
        <item x="614"/>
        <item x="175"/>
        <item x="443"/>
        <item x="76"/>
        <item x="541"/>
        <item x="665"/>
        <item x="335"/>
        <item x="48"/>
        <item x="257"/>
        <item x="567"/>
        <item x="457"/>
        <item x="166"/>
        <item x="618"/>
        <item x="192"/>
        <item x="979"/>
        <item x="469"/>
        <item x="751"/>
        <item x="774"/>
        <item x="128"/>
        <item x="31"/>
        <item x="468"/>
        <item x="562"/>
        <item x="46"/>
        <item x="988"/>
        <item x="506"/>
        <item t="default"/>
      </items>
    </pivotField>
    <pivotField showAll="0"/>
    <pivotField showAll="0"/>
    <pivotField showAll="0"/>
    <pivotField dataField="1" showAll="0"/>
    <pivotField showAll="0"/>
    <pivotField showAll="0"/>
    <pivotField showAll="0"/>
    <pivotField showAll="0"/>
    <pivotField axis="axisRow" showAll="0">
      <items count="9">
        <item x="0"/>
        <item x="5"/>
        <item x="1"/>
        <item x="3"/>
        <item x="6"/>
        <item x="4"/>
        <item x="7"/>
        <item x="2"/>
        <item t="default"/>
      </items>
    </pivotField>
    <pivotField showAll="0">
      <items count="5">
        <item x="1"/>
        <item x="2"/>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9">
    <i>
      <x/>
    </i>
    <i>
      <x v="1"/>
    </i>
    <i>
      <x v="2"/>
    </i>
    <i>
      <x v="3"/>
    </i>
    <i>
      <x v="4"/>
    </i>
    <i>
      <x v="5"/>
    </i>
    <i>
      <x v="6"/>
    </i>
    <i>
      <x v="7"/>
    </i>
    <i t="grand">
      <x/>
    </i>
  </rowItems>
  <colFields count="1">
    <field x="-2"/>
  </colFields>
  <colItems count="2">
    <i>
      <x/>
    </i>
    <i i="1">
      <x v="1"/>
    </i>
  </colItems>
  <dataFields count="2">
    <dataField name="Sum of Total_Cost" fld="5" baseField="10" baseItem="0"/>
    <dataField name="Count of Transaction_ID" fld="0" subtotal="count" baseField="1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207B1A-6814-414A-988B-92EB7E3D3B0E}"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C22" firstHeaderRow="0" firstDataRow="1" firstDataCol="1"/>
  <pivotFields count="16">
    <pivotField dataField="1" showAll="0"/>
    <pivotField axis="axisRow" numFmtId="22" showAll="0">
      <items count="1000">
        <item x="267"/>
        <item x="23"/>
        <item x="215"/>
        <item x="726"/>
        <item x="437"/>
        <item x="311"/>
        <item x="941"/>
        <item x="754"/>
        <item x="544"/>
        <item x="706"/>
        <item x="508"/>
        <item x="466"/>
        <item x="100"/>
        <item x="462"/>
        <item x="430"/>
        <item x="899"/>
        <item x="651"/>
        <item x="769"/>
        <item x="639"/>
        <item x="839"/>
        <item x="597"/>
        <item x="553"/>
        <item x="594"/>
        <item x="330"/>
        <item x="103"/>
        <item x="191"/>
        <item x="444"/>
        <item x="554"/>
        <item x="25"/>
        <item x="973"/>
        <item x="641"/>
        <item x="227"/>
        <item x="690"/>
        <item x="985"/>
        <item x="29"/>
        <item x="464"/>
        <item x="587"/>
        <item x="280"/>
        <item x="202"/>
        <item x="783"/>
        <item x="861"/>
        <item x="474"/>
        <item x="453"/>
        <item x="243"/>
        <item x="295"/>
        <item x="770"/>
        <item x="74"/>
        <item x="895"/>
        <item x="381"/>
        <item x="627"/>
        <item x="745"/>
        <item x="10"/>
        <item x="502"/>
        <item x="364"/>
        <item x="692"/>
        <item x="965"/>
        <item x="346"/>
        <item x="27"/>
        <item x="603"/>
        <item x="185"/>
        <item x="894"/>
        <item x="67"/>
        <item x="664"/>
        <item x="403"/>
        <item x="580"/>
        <item x="543"/>
        <item x="14"/>
        <item x="924"/>
        <item x="566"/>
        <item x="811"/>
        <item x="916"/>
        <item x="798"/>
        <item x="155"/>
        <item x="821"/>
        <item x="850"/>
        <item x="242"/>
        <item x="631"/>
        <item x="681"/>
        <item x="814"/>
        <item x="88"/>
        <item x="666"/>
        <item x="410"/>
        <item x="832"/>
        <item x="761"/>
        <item x="342"/>
        <item x="718"/>
        <item x="135"/>
        <item x="561"/>
        <item x="921"/>
        <item x="810"/>
        <item x="52"/>
        <item x="71"/>
        <item x="507"/>
        <item x="573"/>
        <item x="80"/>
        <item x="883"/>
        <item x="738"/>
        <item x="685"/>
        <item x="576"/>
        <item x="922"/>
        <item x="459"/>
        <item x="743"/>
        <item x="283"/>
        <item x="37"/>
        <item x="935"/>
        <item x="263"/>
        <item x="290"/>
        <item x="801"/>
        <item x="424"/>
        <item x="302"/>
        <item x="969"/>
        <item x="744"/>
        <item x="923"/>
        <item x="347"/>
        <item x="438"/>
        <item x="642"/>
        <item x="487"/>
        <item x="892"/>
        <item x="948"/>
        <item x="316"/>
        <item x="378"/>
        <item x="168"/>
        <item x="59"/>
        <item x="384"/>
        <item x="326"/>
        <item x="482"/>
        <item x="694"/>
        <item x="712"/>
        <item x="730"/>
        <item x="971"/>
        <item x="817"/>
        <item x="38"/>
        <item x="840"/>
        <item x="411"/>
        <item x="542"/>
        <item x="844"/>
        <item x="194"/>
        <item x="509"/>
        <item x="721"/>
        <item x="152"/>
        <item x="99"/>
        <item x="516"/>
        <item x="297"/>
        <item x="723"/>
        <item x="645"/>
        <item x="731"/>
        <item x="531"/>
        <item x="402"/>
        <item x="903"/>
        <item x="371"/>
        <item x="163"/>
        <item x="792"/>
        <item x="362"/>
        <item x="764"/>
        <item x="773"/>
        <item x="505"/>
        <item x="510"/>
        <item x="122"/>
        <item x="757"/>
        <item x="426"/>
        <item x="640"/>
        <item x="862"/>
        <item x="625"/>
        <item x="842"/>
        <item x="563"/>
        <item x="7"/>
        <item x="796"/>
        <item x="401"/>
        <item x="981"/>
        <item x="293"/>
        <item x="83"/>
        <item x="389"/>
        <item x="281"/>
        <item x="917"/>
        <item x="619"/>
        <item x="70"/>
        <item x="26"/>
        <item x="86"/>
        <item x="150"/>
        <item x="407"/>
        <item x="843"/>
        <item x="946"/>
        <item x="790"/>
        <item x="212"/>
        <item x="339"/>
        <item x="344"/>
        <item x="317"/>
        <item x="886"/>
        <item x="994"/>
        <item x="224"/>
        <item x="729"/>
        <item x="382"/>
        <item x="836"/>
        <item x="43"/>
        <item x="855"/>
        <item x="193"/>
        <item x="987"/>
        <item x="36"/>
        <item x="534"/>
        <item x="167"/>
        <item x="755"/>
        <item x="481"/>
        <item x="454"/>
        <item x="134"/>
        <item x="85"/>
        <item x="129"/>
        <item x="396"/>
        <item x="3"/>
        <item x="807"/>
        <item x="219"/>
        <item x="604"/>
        <item x="173"/>
        <item x="292"/>
        <item x="512"/>
        <item x="348"/>
        <item x="860"/>
        <item x="716"/>
        <item x="739"/>
        <item x="182"/>
        <item x="647"/>
        <item x="408"/>
        <item x="269"/>
        <item x="497"/>
        <item x="248"/>
        <item x="772"/>
        <item x="970"/>
        <item x="312"/>
        <item x="181"/>
        <item x="435"/>
        <item x="355"/>
        <item x="140"/>
        <item x="4"/>
        <item x="343"/>
        <item x="768"/>
        <item x="753"/>
        <item x="622"/>
        <item x="253"/>
        <item x="565"/>
        <item x="976"/>
        <item x="501"/>
        <item x="373"/>
        <item x="914"/>
        <item x="417"/>
        <item x="526"/>
        <item x="53"/>
        <item x="15"/>
        <item x="251"/>
        <item x="470"/>
        <item x="117"/>
        <item x="78"/>
        <item x="698"/>
        <item x="282"/>
        <item x="532"/>
        <item x="683"/>
        <item x="816"/>
        <item x="198"/>
        <item x="996"/>
        <item x="320"/>
        <item x="674"/>
        <item x="644"/>
        <item x="601"/>
        <item x="19"/>
        <item x="610"/>
        <item x="591"/>
        <item x="222"/>
        <item x="307"/>
        <item x="515"/>
        <item x="659"/>
        <item x="679"/>
        <item x="728"/>
        <item x="737"/>
        <item x="851"/>
        <item x="397"/>
        <item x="600"/>
        <item x="228"/>
        <item x="719"/>
        <item x="303"/>
        <item x="868"/>
        <item x="136"/>
        <item x="825"/>
        <item x="911"/>
        <item x="592"/>
        <item x="540"/>
        <item x="333"/>
        <item x="568"/>
        <item x="528"/>
        <item x="693"/>
        <item x="488"/>
        <item x="813"/>
        <item x="101"/>
        <item x="835"/>
        <item x="560"/>
        <item x="278"/>
        <item x="147"/>
        <item x="400"/>
        <item x="823"/>
        <item x="463"/>
        <item x="995"/>
        <item x="89"/>
        <item x="279"/>
        <item x="815"/>
        <item x="919"/>
        <item x="876"/>
        <item x="189"/>
        <item x="386"/>
        <item x="477"/>
        <item x="8"/>
        <item x="575"/>
        <item x="800"/>
        <item x="138"/>
        <item x="890"/>
        <item x="207"/>
        <item x="94"/>
        <item x="50"/>
        <item x="149"/>
        <item x="880"/>
        <item x="289"/>
        <item x="724"/>
        <item x="616"/>
        <item x="249"/>
        <item x="776"/>
        <item x="174"/>
        <item x="151"/>
        <item x="323"/>
        <item x="132"/>
        <item x="896"/>
        <item x="327"/>
        <item x="872"/>
        <item x="380"/>
        <item x="105"/>
        <item x="648"/>
        <item x="366"/>
        <item x="110"/>
        <item x="590"/>
        <item x="932"/>
        <item x="165"/>
        <item x="805"/>
        <item x="404"/>
        <item x="125"/>
        <item x="211"/>
        <item x="294"/>
        <item x="703"/>
        <item x="873"/>
        <item x="898"/>
        <item x="96"/>
        <item x="412"/>
        <item x="628"/>
        <item x="788"/>
        <item x="938"/>
        <item x="387"/>
        <item x="368"/>
        <item x="585"/>
        <item x="697"/>
        <item x="749"/>
        <item x="954"/>
        <item x="957"/>
        <item x="759"/>
        <item x="963"/>
        <item x="127"/>
        <item x="633"/>
        <item x="300"/>
        <item x="820"/>
        <item x="422"/>
        <item x="22"/>
        <item x="740"/>
        <item x="73"/>
        <item x="785"/>
        <item x="871"/>
        <item x="646"/>
        <item x="180"/>
        <item x="119"/>
        <item x="62"/>
        <item x="49"/>
        <item x="699"/>
        <item x="331"/>
        <item x="64"/>
        <item x="372"/>
        <item x="962"/>
        <item x="708"/>
        <item x="660"/>
        <item x="806"/>
        <item x="831"/>
        <item x="9"/>
        <item x="229"/>
        <item x="621"/>
        <item x="232"/>
        <item x="409"/>
        <item x="857"/>
        <item x="288"/>
        <item x="530"/>
        <item x="551"/>
        <item x="845"/>
        <item x="522"/>
        <item x="345"/>
        <item x="114"/>
        <item x="376"/>
        <item x="884"/>
        <item x="676"/>
        <item x="225"/>
        <item x="209"/>
        <item x="771"/>
        <item x="722"/>
        <item x="936"/>
        <item x="255"/>
        <item x="172"/>
        <item x="686"/>
        <item x="537"/>
        <item x="866"/>
        <item x="87"/>
        <item x="588"/>
        <item x="218"/>
        <item x="475"/>
        <item x="504"/>
        <item x="264"/>
        <item x="881"/>
        <item x="780"/>
        <item x="572"/>
        <item x="203"/>
        <item x="82"/>
        <item x="658"/>
        <item x="336"/>
        <item x="17"/>
        <item x="217"/>
        <item x="602"/>
        <item x="436"/>
        <item x="546"/>
        <item x="277"/>
        <item x="741"/>
        <item x="352"/>
        <item x="213"/>
        <item x="856"/>
        <item x="356"/>
        <item x="5"/>
        <item x="493"/>
        <item x="797"/>
        <item x="157"/>
        <item x="789"/>
        <item x="16"/>
        <item x="595"/>
        <item x="766"/>
        <item x="246"/>
        <item x="61"/>
        <item x="418"/>
        <item x="68"/>
        <item x="826"/>
        <item x="20"/>
        <item x="793"/>
        <item x="608"/>
        <item x="858"/>
        <item x="325"/>
        <item x="650"/>
        <item x="60"/>
        <item x="479"/>
        <item x="558"/>
        <item x="812"/>
        <item x="415"/>
        <item x="324"/>
        <item x="529"/>
        <item x="663"/>
        <item x="159"/>
        <item x="928"/>
        <item x="57"/>
        <item x="989"/>
        <item x="900"/>
        <item x="447"/>
        <item x="782"/>
        <item x="709"/>
        <item x="442"/>
        <item x="781"/>
        <item x="365"/>
        <item x="492"/>
        <item x="259"/>
        <item x="115"/>
        <item x="351"/>
        <item x="262"/>
        <item x="559"/>
        <item x="179"/>
        <item x="383"/>
        <item x="632"/>
        <item x="824"/>
        <item x="778"/>
        <item x="564"/>
        <item x="183"/>
        <item x="713"/>
        <item x="186"/>
        <item x="848"/>
        <item x="677"/>
        <item x="997"/>
        <item x="112"/>
        <item x="944"/>
        <item x="519"/>
        <item x="465"/>
        <item x="906"/>
        <item x="539"/>
        <item x="864"/>
        <item x="643"/>
        <item x="0"/>
        <item x="691"/>
        <item x="714"/>
        <item x="357"/>
        <item x="334"/>
        <item x="340"/>
        <item x="199"/>
        <item x="636"/>
        <item x="95"/>
        <item x="298"/>
        <item x="869"/>
        <item x="910"/>
        <item x="305"/>
        <item x="853"/>
        <item x="791"/>
        <item x="256"/>
        <item x="460"/>
        <item x="802"/>
        <item x="655"/>
        <item x="338"/>
        <item x="491"/>
        <item x="958"/>
        <item x="467"/>
        <item x="934"/>
        <item x="589"/>
        <item x="637"/>
        <item x="394"/>
        <item x="687"/>
        <item x="358"/>
        <item x="612"/>
        <item x="184"/>
        <item x="161"/>
        <item x="296"/>
        <item x="748"/>
        <item x="891"/>
        <item x="513"/>
        <item x="354"/>
        <item x="121"/>
        <item x="476"/>
        <item x="33"/>
        <item x="620"/>
        <item x="779"/>
        <item x="500"/>
        <item x="613"/>
        <item x="244"/>
        <item x="623"/>
        <item x="882"/>
        <item x="66"/>
        <item x="656"/>
        <item x="514"/>
        <item x="252"/>
        <item x="428"/>
        <item x="966"/>
        <item x="196"/>
        <item x="440"/>
        <item x="216"/>
        <item x="874"/>
        <item x="285"/>
        <item x="56"/>
        <item x="260"/>
        <item x="81"/>
        <item x="682"/>
        <item x="106"/>
        <item x="838"/>
        <item x="230"/>
        <item x="483"/>
        <item x="349"/>
        <item x="328"/>
        <item x="822"/>
        <item x="84"/>
        <item x="40"/>
        <item x="208"/>
        <item x="445"/>
        <item x="583"/>
        <item x="887"/>
        <item x="809"/>
        <item x="197"/>
        <item x="984"/>
        <item x="918"/>
        <item x="841"/>
        <item x="733"/>
        <item x="557"/>
        <item x="746"/>
        <item x="983"/>
        <item x="55"/>
        <item x="863"/>
        <item x="931"/>
        <item x="930"/>
        <item x="441"/>
        <item x="593"/>
        <item x="661"/>
        <item x="972"/>
        <item x="867"/>
        <item x="750"/>
        <item x="950"/>
        <item x="909"/>
        <item x="849"/>
        <item x="133"/>
        <item x="720"/>
        <item x="705"/>
        <item x="18"/>
        <item x="702"/>
        <item x="626"/>
        <item x="847"/>
        <item x="319"/>
        <item x="275"/>
        <item x="97"/>
        <item x="711"/>
        <item x="734"/>
        <item x="126"/>
        <item x="392"/>
        <item x="28"/>
        <item x="599"/>
        <item x="975"/>
        <item x="943"/>
        <item x="310"/>
        <item x="69"/>
        <item x="715"/>
        <item x="596"/>
        <item x="696"/>
        <item x="833"/>
        <item x="399"/>
        <item x="527"/>
        <item x="574"/>
        <item x="395"/>
        <item x="762"/>
        <item x="940"/>
        <item x="369"/>
        <item x="239"/>
        <item x="638"/>
        <item x="131"/>
        <item x="767"/>
        <item x="905"/>
        <item x="606"/>
        <item x="130"/>
        <item x="907"/>
        <item x="538"/>
        <item x="188"/>
        <item x="405"/>
        <item x="231"/>
        <item x="187"/>
        <item x="406"/>
        <item x="888"/>
        <item x="44"/>
        <item x="859"/>
        <item x="111"/>
        <item x="109"/>
        <item x="689"/>
        <item x="926"/>
        <item x="266"/>
        <item x="747"/>
        <item x="795"/>
        <item x="980"/>
        <item x="98"/>
        <item x="329"/>
        <item x="35"/>
        <item x="879"/>
        <item x="828"/>
        <item x="284"/>
        <item x="577"/>
        <item x="102"/>
        <item x="961"/>
        <item x="524"/>
        <item x="634"/>
        <item x="162"/>
        <item x="72"/>
        <item x="605"/>
        <item x="672"/>
        <item x="45"/>
        <item x="429"/>
        <item x="374"/>
        <item x="139"/>
        <item x="177"/>
        <item x="226"/>
        <item x="144"/>
        <item x="763"/>
        <item x="240"/>
        <item x="579"/>
        <item x="261"/>
        <item x="991"/>
        <item x="819"/>
        <item x="654"/>
        <item x="241"/>
        <item x="615"/>
        <item x="427"/>
        <item x="245"/>
        <item x="271"/>
        <item x="304"/>
        <item x="852"/>
        <item x="456"/>
        <item x="799"/>
        <item x="104"/>
        <item x="313"/>
        <item x="461"/>
        <item x="21"/>
        <item x="146"/>
        <item x="990"/>
        <item x="287"/>
        <item x="525"/>
        <item x="964"/>
        <item x="992"/>
        <item x="6"/>
        <item x="322"/>
        <item x="30"/>
        <item x="668"/>
        <item x="379"/>
        <item x="635"/>
        <item x="268"/>
        <item x="704"/>
        <item x="486"/>
        <item x="977"/>
        <item x="458"/>
        <item x="908"/>
        <item x="375"/>
        <item x="760"/>
        <item x="478"/>
        <item x="176"/>
        <item x="854"/>
        <item x="533"/>
        <item x="452"/>
        <item x="309"/>
        <item x="107"/>
        <item x="318"/>
        <item x="787"/>
        <item x="710"/>
        <item x="535"/>
        <item x="953"/>
        <item x="707"/>
        <item x="398"/>
        <item x="47"/>
        <item x="145"/>
        <item x="34"/>
        <item x="784"/>
        <item x="951"/>
        <item x="92"/>
        <item x="413"/>
        <item x="775"/>
        <item x="171"/>
        <item x="939"/>
        <item x="818"/>
        <item x="455"/>
        <item x="829"/>
        <item x="120"/>
        <item x="24"/>
        <item x="1"/>
        <item x="254"/>
        <item x="223"/>
        <item x="54"/>
        <item x="258"/>
        <item x="141"/>
        <item x="434"/>
        <item x="652"/>
        <item x="450"/>
        <item x="885"/>
        <item x="667"/>
        <item x="657"/>
        <item x="893"/>
        <item x="834"/>
        <item x="423"/>
        <item x="142"/>
        <item x="337"/>
        <item x="158"/>
        <item x="804"/>
        <item x="786"/>
        <item x="451"/>
        <item x="609"/>
        <item x="363"/>
        <item x="548"/>
        <item x="11"/>
        <item x="195"/>
        <item x="13"/>
        <item x="367"/>
        <item x="91"/>
        <item x="915"/>
        <item x="32"/>
        <item x="484"/>
        <item x="967"/>
        <item x="118"/>
        <item x="803"/>
        <item x="765"/>
        <item x="732"/>
        <item x="306"/>
        <item x="678"/>
        <item x="673"/>
        <item x="448"/>
        <item x="247"/>
        <item x="221"/>
        <item x="113"/>
        <item x="233"/>
        <item x="432"/>
        <item x="238"/>
        <item x="569"/>
        <item x="920"/>
        <item x="471"/>
        <item x="206"/>
        <item x="584"/>
        <item x="870"/>
        <item x="945"/>
        <item x="234"/>
        <item x="982"/>
        <item x="214"/>
        <item x="582"/>
        <item x="449"/>
        <item x="586"/>
        <item x="549"/>
        <item x="978"/>
        <item x="431"/>
        <item x="496"/>
        <item x="12"/>
        <item x="393"/>
        <item x="75"/>
        <item x="291"/>
        <item x="617"/>
        <item x="286"/>
        <item x="547"/>
        <item x="200"/>
        <item x="701"/>
        <item x="517"/>
        <item x="925"/>
        <item x="875"/>
        <item x="308"/>
        <item x="169"/>
        <item x="420"/>
        <item x="680"/>
        <item x="937"/>
        <item x="598"/>
        <item x="41"/>
        <item x="377"/>
        <item x="662"/>
        <item x="752"/>
        <item x="314"/>
        <item x="684"/>
        <item x="385"/>
        <item x="388"/>
        <item x="498"/>
        <item x="511"/>
        <item x="39"/>
        <item x="571"/>
        <item x="904"/>
        <item x="956"/>
        <item x="416"/>
        <item x="301"/>
        <item x="968"/>
        <item x="236"/>
        <item x="148"/>
        <item x="756"/>
        <item x="670"/>
        <item x="947"/>
        <item x="65"/>
        <item x="419"/>
        <item x="993"/>
        <item x="607"/>
        <item x="124"/>
        <item x="63"/>
        <item x="901"/>
        <item x="446"/>
        <item x="170"/>
        <item x="960"/>
        <item x="503"/>
        <item x="742"/>
        <item x="649"/>
        <item x="578"/>
        <item x="725"/>
        <item x="210"/>
        <item x="518"/>
        <item x="123"/>
        <item x="51"/>
        <item x="777"/>
        <item x="154"/>
        <item x="808"/>
        <item x="433"/>
        <item x="671"/>
        <item x="421"/>
        <item x="555"/>
        <item x="361"/>
        <item x="624"/>
        <item x="156"/>
        <item x="485"/>
        <item x="108"/>
        <item x="974"/>
        <item x="611"/>
        <item x="274"/>
        <item x="629"/>
        <item x="927"/>
        <item x="276"/>
        <item x="865"/>
        <item x="137"/>
        <item x="273"/>
        <item x="42"/>
        <item x="952"/>
        <item x="717"/>
        <item x="265"/>
        <item x="499"/>
        <item x="90"/>
        <item x="270"/>
        <item x="370"/>
        <item x="480"/>
        <item x="204"/>
        <item x="675"/>
        <item x="360"/>
        <item x="164"/>
        <item x="472"/>
        <item x="237"/>
        <item x="912"/>
        <item x="235"/>
        <item x="359"/>
        <item x="550"/>
        <item x="272"/>
        <item x="688"/>
        <item x="439"/>
        <item x="153"/>
        <item x="489"/>
        <item x="425"/>
        <item x="205"/>
        <item x="878"/>
        <item x="93"/>
        <item x="332"/>
        <item x="837"/>
        <item x="897"/>
        <item x="736"/>
        <item x="490"/>
        <item x="653"/>
        <item x="495"/>
        <item x="669"/>
        <item x="846"/>
        <item x="321"/>
        <item x="727"/>
        <item x="58"/>
        <item x="391"/>
        <item x="190"/>
        <item x="520"/>
        <item x="929"/>
        <item x="250"/>
        <item x="79"/>
        <item x="942"/>
        <item x="700"/>
        <item x="955"/>
        <item x="998"/>
        <item x="220"/>
        <item x="902"/>
        <item x="630"/>
        <item x="552"/>
        <item x="556"/>
        <item x="545"/>
        <item x="889"/>
        <item x="201"/>
        <item x="536"/>
        <item x="570"/>
        <item x="959"/>
        <item x="160"/>
        <item x="949"/>
        <item x="315"/>
        <item x="116"/>
        <item x="350"/>
        <item x="933"/>
        <item x="341"/>
        <item x="523"/>
        <item x="877"/>
        <item x="827"/>
        <item x="473"/>
        <item x="735"/>
        <item x="758"/>
        <item x="794"/>
        <item x="695"/>
        <item x="390"/>
        <item x="178"/>
        <item x="77"/>
        <item x="353"/>
        <item x="2"/>
        <item x="581"/>
        <item x="299"/>
        <item x="986"/>
        <item x="414"/>
        <item x="830"/>
        <item x="913"/>
        <item x="143"/>
        <item x="494"/>
        <item x="521"/>
        <item x="614"/>
        <item x="175"/>
        <item x="443"/>
        <item x="76"/>
        <item x="541"/>
        <item x="665"/>
        <item x="335"/>
        <item x="48"/>
        <item x="257"/>
        <item x="567"/>
        <item x="457"/>
        <item x="166"/>
        <item x="618"/>
        <item x="192"/>
        <item x="979"/>
        <item x="469"/>
        <item x="751"/>
        <item x="774"/>
        <item x="128"/>
        <item x="31"/>
        <item x="468"/>
        <item x="562"/>
        <item x="46"/>
        <item x="988"/>
        <item x="506"/>
        <item t="default"/>
      </items>
    </pivotField>
    <pivotField showAll="0"/>
    <pivotField showAll="0"/>
    <pivotField showAll="0"/>
    <pivotField dataField="1" showAll="0"/>
    <pivotField showAll="0"/>
    <pivotField showAll="0"/>
    <pivotField showAll="0"/>
    <pivotField showAll="0"/>
    <pivotField showAll="0"/>
    <pivotField showAll="0">
      <items count="5">
        <item x="1"/>
        <item x="2"/>
        <item x="3"/>
        <item x="0"/>
        <item t="default"/>
      </items>
    </pivotField>
    <pivotField axis="axisRow" showAll="0">
      <items count="4">
        <item x="1"/>
        <item x="2"/>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5">
    <field x="12"/>
    <field x="15"/>
    <field x="14"/>
    <field x="13"/>
    <field x="1"/>
  </rowFields>
  <rowItems count="19">
    <i>
      <x/>
    </i>
    <i r="1">
      <x v="1"/>
    </i>
    <i r="1">
      <x v="2"/>
    </i>
    <i r="1">
      <x v="3"/>
    </i>
    <i r="1">
      <x v="4"/>
    </i>
    <i r="1">
      <x v="5"/>
    </i>
    <i>
      <x v="1"/>
    </i>
    <i r="1">
      <x v="1"/>
    </i>
    <i r="1">
      <x v="2"/>
    </i>
    <i r="1">
      <x v="3"/>
    </i>
    <i r="1">
      <x v="4"/>
    </i>
    <i r="1">
      <x v="5"/>
    </i>
    <i>
      <x v="2"/>
    </i>
    <i r="1">
      <x v="1"/>
    </i>
    <i r="1">
      <x v="2"/>
    </i>
    <i r="1">
      <x v="3"/>
    </i>
    <i r="1">
      <x v="4"/>
    </i>
    <i r="1">
      <x v="5"/>
    </i>
    <i t="grand">
      <x/>
    </i>
  </rowItems>
  <colFields count="1">
    <field x="-2"/>
  </colFields>
  <colItems count="2">
    <i>
      <x/>
    </i>
    <i i="1">
      <x v="1"/>
    </i>
  </colItems>
  <dataFields count="2">
    <dataField name="Sum of Total_Cost" fld="5" baseField="0" baseItem="0"/>
    <dataField name="Sum of Transaction_ID" fld="0"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3B18D2D-7B9B-46C1-A125-320DA2C08E86}" sourceName="Payment_Method">
  <pivotTables>
    <pivotTable tabId="12" name="PivotTable7"/>
  </pivotTables>
  <data>
    <tabular pivotCacheId="1008297175">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F5699AD-BB0E-490B-B9EB-2BD38B9B60C8}" sourceName="City">
  <pivotTables>
    <pivotTable tabId="12" name="PivotTable7"/>
  </pivotTables>
  <data>
    <tabular pivotCacheId="1008297175">
      <items count="10">
        <i x="9" s="1"/>
        <i x="4" s="1"/>
        <i x="3" s="1"/>
        <i x="8" s="1"/>
        <i x="2" s="1"/>
        <i x="0" s="1"/>
        <i x="7" s="1"/>
        <i x="5"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C027A184-DA5A-452E-B3F9-76DE3288AEA1}" sourceName="Store_Type">
  <pivotTables>
    <pivotTable tabId="12" name="PivotTable7"/>
  </pivotTables>
  <data>
    <tabular pivotCacheId="1008297175">
      <items count="6">
        <i x="5" s="1"/>
        <i x="2" s="1"/>
        <i x="3" s="1"/>
        <i x="1"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1B57AA1-FB81-4A1C-8C18-0DC7CDB89673}" sourceName="Season">
  <pivotTables>
    <pivotTable tabId="12" name="PivotTable7"/>
    <pivotTable tabId="7" name="PivotTable5"/>
    <pivotTable tabId="4" name="PivotTable2"/>
    <pivotTable tabId="8" name="PivotTable6"/>
    <pivotTable tabId="6" name="PivotTable4"/>
    <pivotTable tabId="5" name="PivotTable3"/>
  </pivotTables>
  <data>
    <tabular pivotCacheId="1008297175">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C4174C98-2C4E-4BAD-B73B-0CEBAE977374}" cache="Slicer_Payment_Method" caption="Payment_Method" rowHeight="230716"/>
  <slicer name="City" xr10:uid="{72379FF1-C02F-4C80-865A-1056C48C2CA7}" cache="Slicer_City" caption="City" rowHeight="230716"/>
  <slicer name="Store_Type" xr10:uid="{B17BB118-4522-4C6B-8D7E-3E4DD0AADCB6}" cache="Slicer_Store_Type" caption="Store_Type" rowHeight="230716"/>
  <slicer name="Season" xr10:uid="{072FB040-E788-4F51-BCEB-7E8198F14A2F}" cache="Slicer_Season" caption="Seas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E5BB48-6140-439B-9016-A2CDB34A6A95}" name="Table1" displayName="Table1" ref="A1:Q1000" totalsRowShown="0">
  <autoFilter ref="A1:Q1000" xr:uid="{C4E5BB48-6140-439B-9016-A2CDB34A6A95}"/>
  <tableColumns count="17">
    <tableColumn id="1" xr3:uid="{258BF36B-E2C9-4C73-A529-AC1559476DD2}" name="Transaction_ID"/>
    <tableColumn id="2" xr3:uid="{E3206B51-4A30-49CC-AD19-ABC63CF6CDC3}" name="Date" dataDxfId="7"/>
    <tableColumn id="3" xr3:uid="{600D1181-0BDA-4DB9-949A-051F74C9DDB0}" name="Customer_Name"/>
    <tableColumn id="4" xr3:uid="{3FBB45E9-253C-4336-AFC8-210A11438A61}" name="Product"/>
    <tableColumn id="5" xr3:uid="{5765AFB5-0257-4DD3-9DB0-A1C80236168A}" name="Total_Items"/>
    <tableColumn id="6" xr3:uid="{97D4D115-EB1A-44B9-9C19-368506882ECB}" name="Total_Cost"/>
    <tableColumn id="7" xr3:uid="{A0382B82-B900-4182-AB36-9B749B6A534B}" name="Payment_Method"/>
    <tableColumn id="8" xr3:uid="{30AF4CD5-E55B-4B14-9323-B59B16744D61}" name="City"/>
    <tableColumn id="9" xr3:uid="{B644180F-90EC-4FD4-AF22-C0BDEEC28283}" name="Store_Type"/>
    <tableColumn id="10" xr3:uid="{1676BF06-198F-4132-97E7-D10989145728}" name="Discount_Applied"/>
    <tableColumn id="11" xr3:uid="{F0969BD8-9BFF-4983-90B0-158E44216065}" name="Customer_Category"/>
    <tableColumn id="12" xr3:uid="{EBA36A34-5F0C-4F5A-8C1B-AF55ABBB73C7}" name="Season"/>
    <tableColumn id="13" xr3:uid="{E16587E5-BDFC-4E8B-88F2-CEB89368DD52}" name="Promotion"/>
    <tableColumn id="14" xr3:uid="{A3ADEDEB-7B4A-4BB0-80B6-41825FAFD4DB}" name="year" dataDxfId="6">
      <calculatedColumnFormula>YEAR(Table1[[#This Row],[Date]])</calculatedColumnFormula>
    </tableColumn>
    <tableColumn id="15" xr3:uid="{D21F9CC3-D351-45DC-B282-868F2A1CC380}" name="month" dataDxfId="5">
      <calculatedColumnFormula>TEXT(Table1[[#This Row],[Date]],"mmm")</calculatedColumnFormula>
    </tableColumn>
    <tableColumn id="16" xr3:uid="{DAA1FA5C-5E51-4947-9219-E9F36E64D8A0}" name="sales_category" dataDxfId="4">
      <calculatedColumnFormula>IF(Table1[[#This Row],[Total_Cost]]&lt;25,"low",IF(Table1[[#This Row],[Total_Cost]]&lt;60,"medium","high"))</calculatedColumnFormula>
    </tableColumn>
    <tableColumn id="17" xr3:uid="{4418C837-C532-41B2-9779-EBCA6A5CA7B5}" name="discount_status" dataDxfId="3">
      <calculatedColumnFormula>IF(Table1[[#This Row],[Discount_Applied]]=TRUE,"discount applied","no 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843138E-2F4B-4D9A-B4E0-21F333AAEF22}" sourceName="Date">
  <pivotTables>
    <pivotTable tabId="8" name="PivotTable6"/>
  </pivotTables>
  <state minimalRefreshVersion="6" lastRefreshVersion="6" pivotCacheId="1008297175" filterType="unknown">
    <bounds startDate="2020-01-01T00:27:51" endDate="2025-01-01T15:59:27"/>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C6497C2-FFFF-4EEE-90C1-671B02FFEF44}" cache="NativeTimeline_Date" caption="Date" level="2" selectionLevel="2" scrollPosition="2024-06-05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EB2C4-4E88-4015-9001-6CBFC5BE08AF}">
  <dimension ref="A1:R14"/>
  <sheetViews>
    <sheetView tabSelected="1" topLeftCell="A23" zoomScale="49" workbookViewId="0">
      <selection activeCell="T50" sqref="T50"/>
    </sheetView>
  </sheetViews>
  <sheetFormatPr defaultRowHeight="14" x14ac:dyDescent="0.3"/>
  <cols>
    <col min="1" max="1" width="11.81640625" customWidth="1"/>
    <col min="2" max="2" width="20" customWidth="1"/>
    <col min="6" max="6" width="12.453125" customWidth="1"/>
    <col min="7" max="7" width="16" customWidth="1"/>
    <col min="8" max="8" width="17.453125" customWidth="1"/>
  </cols>
  <sheetData>
    <row r="1" spans="1:18" x14ac:dyDescent="0.3">
      <c r="A1" s="21" t="s">
        <v>1919</v>
      </c>
      <c r="B1" s="22"/>
      <c r="C1" s="22"/>
      <c r="D1" s="22"/>
      <c r="E1" s="22"/>
      <c r="F1" s="22"/>
      <c r="G1" s="22"/>
      <c r="H1" s="22"/>
      <c r="I1" s="22"/>
      <c r="J1" s="22"/>
      <c r="K1" s="22"/>
      <c r="L1" s="22"/>
      <c r="M1" s="22"/>
      <c r="N1" s="22"/>
      <c r="O1" s="22"/>
      <c r="P1" s="22"/>
      <c r="Q1" s="22"/>
      <c r="R1" s="22"/>
    </row>
    <row r="2" spans="1:18" x14ac:dyDescent="0.3">
      <c r="A2" s="22"/>
      <c r="B2" s="22"/>
      <c r="C2" s="22"/>
      <c r="D2" s="22"/>
      <c r="E2" s="22"/>
      <c r="F2" s="22"/>
      <c r="G2" s="22"/>
      <c r="H2" s="22"/>
      <c r="I2" s="22"/>
      <c r="J2" s="22"/>
      <c r="K2" s="22"/>
      <c r="L2" s="22"/>
      <c r="M2" s="22"/>
      <c r="N2" s="22"/>
      <c r="O2" s="22"/>
      <c r="P2" s="22"/>
      <c r="Q2" s="22"/>
      <c r="R2" s="22"/>
    </row>
    <row r="3" spans="1:18" x14ac:dyDescent="0.3">
      <c r="A3" s="22"/>
      <c r="B3" s="22"/>
      <c r="C3" s="22"/>
      <c r="D3" s="22"/>
      <c r="E3" s="22"/>
      <c r="F3" s="22"/>
      <c r="G3" s="22"/>
      <c r="H3" s="22"/>
      <c r="I3" s="22"/>
      <c r="J3" s="22"/>
      <c r="K3" s="22"/>
      <c r="L3" s="22"/>
      <c r="M3" s="22"/>
      <c r="N3" s="22"/>
      <c r="O3" s="22"/>
      <c r="P3" s="22"/>
      <c r="Q3" s="22"/>
      <c r="R3" s="22"/>
    </row>
    <row r="4" spans="1:18" x14ac:dyDescent="0.3">
      <c r="A4" s="22"/>
      <c r="B4" s="22"/>
      <c r="C4" s="22"/>
      <c r="D4" s="22"/>
      <c r="E4" s="22"/>
      <c r="F4" s="22"/>
      <c r="G4" s="22"/>
      <c r="H4" s="22"/>
      <c r="I4" s="22"/>
      <c r="J4" s="22"/>
      <c r="K4" s="22"/>
      <c r="L4" s="22"/>
      <c r="M4" s="22"/>
      <c r="N4" s="22"/>
      <c r="O4" s="22"/>
      <c r="P4" s="22"/>
      <c r="Q4" s="22"/>
      <c r="R4" s="22"/>
    </row>
    <row r="5" spans="1:18" x14ac:dyDescent="0.3">
      <c r="A5" s="22"/>
      <c r="B5" s="22"/>
      <c r="C5" s="22"/>
      <c r="D5" s="22"/>
      <c r="E5" s="22"/>
      <c r="F5" s="22"/>
      <c r="G5" s="22"/>
      <c r="H5" s="22"/>
      <c r="I5" s="22"/>
      <c r="J5" s="22"/>
      <c r="K5" s="22"/>
      <c r="L5" s="22"/>
      <c r="M5" s="22"/>
      <c r="N5" s="22"/>
      <c r="O5" s="22"/>
      <c r="P5" s="22"/>
      <c r="Q5" s="22"/>
      <c r="R5" s="22"/>
    </row>
    <row r="6" spans="1:18" x14ac:dyDescent="0.3">
      <c r="A6" s="22"/>
      <c r="B6" s="22"/>
      <c r="C6" s="22"/>
      <c r="D6" s="22"/>
      <c r="E6" s="22"/>
      <c r="F6" s="22"/>
      <c r="G6" s="22"/>
      <c r="H6" s="22"/>
      <c r="I6" s="22"/>
      <c r="J6" s="22"/>
      <c r="K6" s="22"/>
      <c r="L6" s="22"/>
      <c r="M6" s="22"/>
      <c r="N6" s="22"/>
      <c r="O6" s="22"/>
      <c r="P6" s="22"/>
      <c r="Q6" s="22"/>
      <c r="R6" s="22"/>
    </row>
    <row r="7" spans="1:18" ht="15.5" x14ac:dyDescent="0.3">
      <c r="F7" s="7" t="s">
        <v>1920</v>
      </c>
      <c r="G7" s="7" t="s">
        <v>1921</v>
      </c>
      <c r="H7" s="9" t="s">
        <v>1930</v>
      </c>
    </row>
    <row r="8" spans="1:18" ht="46.5" x14ac:dyDescent="0.3">
      <c r="F8" s="10" t="s">
        <v>1922</v>
      </c>
      <c r="G8" s="10" t="s">
        <v>1923</v>
      </c>
      <c r="H8" s="8">
        <f>SUM(Table1[Total_Cost])</f>
        <v>52638.32</v>
      </c>
    </row>
    <row r="9" spans="1:18" ht="46.5" x14ac:dyDescent="0.3">
      <c r="F9" s="10" t="s">
        <v>1924</v>
      </c>
      <c r="G9" s="10" t="s">
        <v>1925</v>
      </c>
      <c r="H9" s="8">
        <f>COUNTA(Table1[Transaction_ID])</f>
        <v>999</v>
      </c>
    </row>
    <row r="10" spans="1:18" ht="46.5" x14ac:dyDescent="0.3">
      <c r="F10" s="10" t="s">
        <v>1926</v>
      </c>
      <c r="G10" s="10" t="s">
        <v>1927</v>
      </c>
      <c r="H10" s="8">
        <f>AVERAGE(Table1[Total_Cost])</f>
        <v>52.691011011011014</v>
      </c>
    </row>
    <row r="11" spans="1:18" ht="46.5" x14ac:dyDescent="0.3">
      <c r="F11" s="10" t="s">
        <v>1928</v>
      </c>
      <c r="G11" s="10" t="s">
        <v>1929</v>
      </c>
      <c r="H11" s="8">
        <f>COUNTIF(Table1[Discount_Applied],TRUE)</f>
        <v>492</v>
      </c>
    </row>
    <row r="14" spans="1:18" ht="15.5" x14ac:dyDescent="0.3">
      <c r="A14" s="6"/>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14DA2-C3A7-477A-B6E7-F22BEEEDF4A7}">
  <dimension ref="A1:Q1000"/>
  <sheetViews>
    <sheetView topLeftCell="D1" workbookViewId="0">
      <selection activeCell="R1" sqref="R1"/>
    </sheetView>
  </sheetViews>
  <sheetFormatPr defaultRowHeight="14" x14ac:dyDescent="0.3"/>
  <cols>
    <col min="1" max="1" width="16.36328125" customWidth="1"/>
    <col min="2" max="2" width="15.453125" bestFit="1" customWidth="1"/>
    <col min="3" max="3" width="23.453125" bestFit="1" customWidth="1"/>
    <col min="4" max="4" width="73.81640625" bestFit="1" customWidth="1"/>
    <col min="5" max="5" width="13.1796875" customWidth="1"/>
    <col min="6" max="6" width="12.26953125" customWidth="1"/>
    <col min="7" max="7" width="17.81640625" customWidth="1"/>
    <col min="8" max="8" width="12.1796875" bestFit="1" customWidth="1"/>
    <col min="9" max="9" width="16.1796875" bestFit="1" customWidth="1"/>
    <col min="10" max="10" width="18" customWidth="1"/>
    <col min="11" max="11" width="19.90625" customWidth="1"/>
    <col min="13" max="13" width="23.453125" bestFit="1" customWidth="1"/>
    <col min="16" max="16" width="15.453125" bestFit="1" customWidth="1"/>
    <col min="17" max="17" width="16.453125" customWidth="1"/>
  </cols>
  <sheetData>
    <row r="1" spans="1:17" x14ac:dyDescent="0.3">
      <c r="A1" t="s">
        <v>0</v>
      </c>
      <c r="B1" t="s">
        <v>1</v>
      </c>
      <c r="C1" t="s">
        <v>2</v>
      </c>
      <c r="D1" t="s">
        <v>3</v>
      </c>
      <c r="E1" t="s">
        <v>4</v>
      </c>
      <c r="F1" t="s">
        <v>5</v>
      </c>
      <c r="G1" t="s">
        <v>6</v>
      </c>
      <c r="H1" t="s">
        <v>7</v>
      </c>
      <c r="I1" t="s">
        <v>8</v>
      </c>
      <c r="J1" t="s">
        <v>9</v>
      </c>
      <c r="K1" t="s">
        <v>10</v>
      </c>
      <c r="L1" t="s">
        <v>11</v>
      </c>
      <c r="M1" t="s">
        <v>12</v>
      </c>
      <c r="N1" t="s">
        <v>1911</v>
      </c>
      <c r="O1" t="s">
        <v>1912</v>
      </c>
      <c r="P1" t="s">
        <v>1913</v>
      </c>
      <c r="Q1" t="s">
        <v>1914</v>
      </c>
    </row>
    <row r="2" spans="1:17" x14ac:dyDescent="0.3">
      <c r="A2">
        <v>1000000000</v>
      </c>
      <c r="B2" s="1">
        <v>44582.269085648149</v>
      </c>
      <c r="C2" t="s">
        <v>13</v>
      </c>
      <c r="D2" t="s">
        <v>14</v>
      </c>
      <c r="E2">
        <v>3</v>
      </c>
      <c r="F2">
        <v>71.650000000000006</v>
      </c>
      <c r="G2" t="s">
        <v>15</v>
      </c>
      <c r="H2" t="s">
        <v>16</v>
      </c>
      <c r="I2" t="s">
        <v>17</v>
      </c>
      <c r="J2" t="b">
        <v>1</v>
      </c>
      <c r="K2" t="s">
        <v>18</v>
      </c>
      <c r="L2" t="s">
        <v>19</v>
      </c>
      <c r="M2" t="s">
        <v>20</v>
      </c>
      <c r="N2">
        <f>YEAR(Table1[[#This Row],[Date]])</f>
        <v>2022</v>
      </c>
      <c r="O2" t="str">
        <f>TEXT(Table1[[#This Row],[Date]],"mmm")</f>
        <v>Jan</v>
      </c>
      <c r="P2" t="str">
        <f>IF(Table1[[#This Row],[Total_Cost]]&lt;25,"low",IF(Table1[[#This Row],[Total_Cost]]&lt;60,"medium","high"))</f>
        <v>high</v>
      </c>
      <c r="Q2" t="str">
        <f>IF(Table1[[#This Row],[Discount_Applied]]=TRUE,"discount applied","no discount")</f>
        <v>discount applied</v>
      </c>
    </row>
    <row r="3" spans="1:17" x14ac:dyDescent="0.3">
      <c r="A3">
        <v>1000000001</v>
      </c>
      <c r="B3" s="1">
        <v>44986.542604166665</v>
      </c>
      <c r="C3" t="s">
        <v>21</v>
      </c>
      <c r="D3" t="s">
        <v>22</v>
      </c>
      <c r="E3">
        <v>2</v>
      </c>
      <c r="F3">
        <v>25.93</v>
      </c>
      <c r="G3" t="s">
        <v>23</v>
      </c>
      <c r="H3" t="s">
        <v>24</v>
      </c>
      <c r="I3" t="s">
        <v>25</v>
      </c>
      <c r="J3" t="b">
        <v>1</v>
      </c>
      <c r="K3" t="s">
        <v>26</v>
      </c>
      <c r="L3" t="s">
        <v>27</v>
      </c>
      <c r="M3" t="s">
        <v>28</v>
      </c>
      <c r="N3">
        <f>YEAR(Table1[[#This Row],[Date]])</f>
        <v>2023</v>
      </c>
      <c r="O3" t="str">
        <f>TEXT(Table1[[#This Row],[Date]],"mmm")</f>
        <v>Mar</v>
      </c>
      <c r="P3" t="str">
        <f>IF(Table1[[#This Row],[Total_Cost]]&lt;25,"low",IF(Table1[[#This Row],[Total_Cost]]&lt;60,"medium","high"))</f>
        <v>medium</v>
      </c>
      <c r="Q3" t="str">
        <f>IF(Table1[[#This Row],[Discount_Applied]]=TRUE,"discount applied","no discount")</f>
        <v>discount applied</v>
      </c>
    </row>
    <row r="4" spans="1:17" x14ac:dyDescent="0.3">
      <c r="A4">
        <v>1000000002</v>
      </c>
      <c r="B4" s="1">
        <v>45372.650740740741</v>
      </c>
      <c r="C4" t="s">
        <v>29</v>
      </c>
      <c r="D4" t="s">
        <v>30</v>
      </c>
      <c r="E4">
        <v>6</v>
      </c>
      <c r="F4">
        <v>41.49</v>
      </c>
      <c r="G4" t="s">
        <v>31</v>
      </c>
      <c r="H4" t="s">
        <v>32</v>
      </c>
      <c r="I4" t="s">
        <v>33</v>
      </c>
      <c r="J4" t="b">
        <v>1</v>
      </c>
      <c r="K4" t="s">
        <v>26</v>
      </c>
      <c r="L4" t="s">
        <v>19</v>
      </c>
      <c r="M4" t="s">
        <v>20</v>
      </c>
      <c r="N4">
        <f>YEAR(Table1[[#This Row],[Date]])</f>
        <v>2024</v>
      </c>
      <c r="O4" t="str">
        <f>TEXT(Table1[[#This Row],[Date]],"mmm")</f>
        <v>Mar</v>
      </c>
      <c r="P4" t="str">
        <f>IF(Table1[[#This Row],[Total_Cost]]&lt;25,"low",IF(Table1[[#This Row],[Total_Cost]]&lt;60,"medium","high"))</f>
        <v>medium</v>
      </c>
      <c r="Q4" t="str">
        <f>IF(Table1[[#This Row],[Discount_Applied]]=TRUE,"discount applied","no discount")</f>
        <v>discount applied</v>
      </c>
    </row>
    <row r="5" spans="1:17" x14ac:dyDescent="0.3">
      <c r="A5">
        <v>1000000003</v>
      </c>
      <c r="B5" s="1">
        <v>44135.416516203702</v>
      </c>
      <c r="C5" t="s">
        <v>34</v>
      </c>
      <c r="D5" t="s">
        <v>35</v>
      </c>
      <c r="E5">
        <v>1</v>
      </c>
      <c r="F5">
        <v>39.340000000000003</v>
      </c>
      <c r="G5" t="s">
        <v>15</v>
      </c>
      <c r="H5" t="s">
        <v>36</v>
      </c>
      <c r="I5" t="s">
        <v>37</v>
      </c>
      <c r="J5" t="b">
        <v>1</v>
      </c>
      <c r="K5" t="s">
        <v>18</v>
      </c>
      <c r="L5" t="s">
        <v>38</v>
      </c>
      <c r="M5" t="s">
        <v>20</v>
      </c>
      <c r="N5">
        <f>YEAR(Table1[[#This Row],[Date]])</f>
        <v>2020</v>
      </c>
      <c r="O5" t="str">
        <f>TEXT(Table1[[#This Row],[Date]],"mmm")</f>
        <v>Oct</v>
      </c>
      <c r="P5" t="str">
        <f>IF(Table1[[#This Row],[Total_Cost]]&lt;25,"low",IF(Table1[[#This Row],[Total_Cost]]&lt;60,"medium","high"))</f>
        <v>medium</v>
      </c>
      <c r="Q5" t="str">
        <f>IF(Table1[[#This Row],[Discount_Applied]]=TRUE,"discount applied","no discount")</f>
        <v>discount applied</v>
      </c>
    </row>
    <row r="6" spans="1:17" x14ac:dyDescent="0.3">
      <c r="A6">
        <v>1000000004</v>
      </c>
      <c r="B6" s="1">
        <v>44175.041655092595</v>
      </c>
      <c r="C6" t="s">
        <v>39</v>
      </c>
      <c r="D6" t="s">
        <v>40</v>
      </c>
      <c r="E6">
        <v>10</v>
      </c>
      <c r="F6">
        <v>16.420000000000002</v>
      </c>
      <c r="G6" t="s">
        <v>41</v>
      </c>
      <c r="H6" t="s">
        <v>32</v>
      </c>
      <c r="I6" t="s">
        <v>25</v>
      </c>
      <c r="J6" t="b">
        <v>0</v>
      </c>
      <c r="K6" t="s">
        <v>42</v>
      </c>
      <c r="L6" t="s">
        <v>19</v>
      </c>
      <c r="M6" t="s">
        <v>43</v>
      </c>
      <c r="N6">
        <f>YEAR(Table1[[#This Row],[Date]])</f>
        <v>2020</v>
      </c>
      <c r="O6" t="str">
        <f>TEXT(Table1[[#This Row],[Date]],"mmm")</f>
        <v>Dec</v>
      </c>
      <c r="P6" t="str">
        <f>IF(Table1[[#This Row],[Total_Cost]]&lt;25,"low",IF(Table1[[#This Row],[Total_Cost]]&lt;60,"medium","high"))</f>
        <v>low</v>
      </c>
      <c r="Q6" t="str">
        <f>IF(Table1[[#This Row],[Discount_Applied]]=TRUE,"discount applied","no discount")</f>
        <v>no discount</v>
      </c>
    </row>
    <row r="7" spans="1:17" x14ac:dyDescent="0.3">
      <c r="A7">
        <v>1000000005</v>
      </c>
      <c r="B7" s="1">
        <v>44476.525995370372</v>
      </c>
      <c r="C7" t="s">
        <v>44</v>
      </c>
      <c r="D7" t="s">
        <v>45</v>
      </c>
      <c r="E7">
        <v>3</v>
      </c>
      <c r="F7">
        <v>72.239999999999995</v>
      </c>
      <c r="G7" t="s">
        <v>23</v>
      </c>
      <c r="H7" t="s">
        <v>32</v>
      </c>
      <c r="I7" t="s">
        <v>46</v>
      </c>
      <c r="J7" t="b">
        <v>1</v>
      </c>
      <c r="K7" t="s">
        <v>47</v>
      </c>
      <c r="L7" t="s">
        <v>38</v>
      </c>
      <c r="M7" t="s">
        <v>43</v>
      </c>
      <c r="N7">
        <f>YEAR(Table1[[#This Row],[Date]])</f>
        <v>2021</v>
      </c>
      <c r="O7" t="str">
        <f>TEXT(Table1[[#This Row],[Date]],"mmm")</f>
        <v>Oct</v>
      </c>
      <c r="P7" t="str">
        <f>IF(Table1[[#This Row],[Total_Cost]]&lt;25,"low",IF(Table1[[#This Row],[Total_Cost]]&lt;60,"medium","high"))</f>
        <v>high</v>
      </c>
      <c r="Q7" t="str">
        <f>IF(Table1[[#This Row],[Discount_Applied]]=TRUE,"discount applied","no discount")</f>
        <v>discount applied</v>
      </c>
    </row>
    <row r="8" spans="1:17" x14ac:dyDescent="0.3">
      <c r="A8">
        <v>1000000006</v>
      </c>
      <c r="B8" s="1">
        <v>44934.444479166668</v>
      </c>
      <c r="C8" t="s">
        <v>48</v>
      </c>
      <c r="D8" t="s">
        <v>49</v>
      </c>
      <c r="E8">
        <v>4</v>
      </c>
      <c r="F8">
        <v>5.28</v>
      </c>
      <c r="G8" t="s">
        <v>23</v>
      </c>
      <c r="H8" t="s">
        <v>50</v>
      </c>
      <c r="I8" t="s">
        <v>25</v>
      </c>
      <c r="J8" t="b">
        <v>0</v>
      </c>
      <c r="K8" t="s">
        <v>51</v>
      </c>
      <c r="L8" t="s">
        <v>52</v>
      </c>
      <c r="M8" t="s">
        <v>43</v>
      </c>
      <c r="N8">
        <f>YEAR(Table1[[#This Row],[Date]])</f>
        <v>2023</v>
      </c>
      <c r="O8" t="str">
        <f>TEXT(Table1[[#This Row],[Date]],"mmm")</f>
        <v>Jan</v>
      </c>
      <c r="P8" t="str">
        <f>IF(Table1[[#This Row],[Total_Cost]]&lt;25,"low",IF(Table1[[#This Row],[Total_Cost]]&lt;60,"medium","high"))</f>
        <v>low</v>
      </c>
      <c r="Q8" t="str">
        <f>IF(Table1[[#This Row],[Discount_Applied]]=TRUE,"discount applied","no discount")</f>
        <v>no discount</v>
      </c>
    </row>
    <row r="9" spans="1:17" x14ac:dyDescent="0.3">
      <c r="A9">
        <v>1000000007</v>
      </c>
      <c r="B9" s="1">
        <v>44077.527766203704</v>
      </c>
      <c r="C9" t="s">
        <v>53</v>
      </c>
      <c r="D9" t="s">
        <v>54</v>
      </c>
      <c r="E9">
        <v>5</v>
      </c>
      <c r="F9">
        <v>21.77</v>
      </c>
      <c r="G9" t="s">
        <v>41</v>
      </c>
      <c r="H9" t="s">
        <v>36</v>
      </c>
      <c r="I9" t="s">
        <v>25</v>
      </c>
      <c r="J9" t="b">
        <v>0</v>
      </c>
      <c r="K9" t="s">
        <v>42</v>
      </c>
      <c r="L9" t="s">
        <v>19</v>
      </c>
      <c r="M9" t="s">
        <v>43</v>
      </c>
      <c r="N9">
        <f>YEAR(Table1[[#This Row],[Date]])</f>
        <v>2020</v>
      </c>
      <c r="O9" t="str">
        <f>TEXT(Table1[[#This Row],[Date]],"mmm")</f>
        <v>Sep</v>
      </c>
      <c r="P9" t="str">
        <f>IF(Table1[[#This Row],[Total_Cost]]&lt;25,"low",IF(Table1[[#This Row],[Total_Cost]]&lt;60,"medium","high"))</f>
        <v>low</v>
      </c>
      <c r="Q9" t="str">
        <f>IF(Table1[[#This Row],[Discount_Applied]]=TRUE,"discount applied","no discount")</f>
        <v>no discount</v>
      </c>
    </row>
    <row r="10" spans="1:17" x14ac:dyDescent="0.3">
      <c r="A10">
        <v>1000000008</v>
      </c>
      <c r="B10" s="1">
        <v>44291.272430555553</v>
      </c>
      <c r="C10" t="s">
        <v>55</v>
      </c>
      <c r="D10" t="s">
        <v>56</v>
      </c>
      <c r="E10">
        <v>4</v>
      </c>
      <c r="F10">
        <v>55.25</v>
      </c>
      <c r="G10" t="s">
        <v>15</v>
      </c>
      <c r="H10" t="s">
        <v>16</v>
      </c>
      <c r="I10" t="s">
        <v>17</v>
      </c>
      <c r="J10" t="b">
        <v>0</v>
      </c>
      <c r="K10" t="s">
        <v>18</v>
      </c>
      <c r="L10" t="s">
        <v>27</v>
      </c>
      <c r="M10" t="s">
        <v>20</v>
      </c>
      <c r="N10">
        <f>YEAR(Table1[[#This Row],[Date]])</f>
        <v>2021</v>
      </c>
      <c r="O10" t="str">
        <f>TEXT(Table1[[#This Row],[Date]],"mmm")</f>
        <v>Apr</v>
      </c>
      <c r="P10" t="str">
        <f>IF(Table1[[#This Row],[Total_Cost]]&lt;25,"low",IF(Table1[[#This Row],[Total_Cost]]&lt;60,"medium","high"))</f>
        <v>medium</v>
      </c>
      <c r="Q10" t="str">
        <f>IF(Table1[[#This Row],[Discount_Applied]]=TRUE,"discount applied","no discount")</f>
        <v>no discount</v>
      </c>
    </row>
    <row r="11" spans="1:17" x14ac:dyDescent="0.3">
      <c r="A11">
        <v>1000000009</v>
      </c>
      <c r="B11" s="1">
        <v>44385.422905092593</v>
      </c>
      <c r="C11" t="s">
        <v>57</v>
      </c>
      <c r="D11" t="s">
        <v>58</v>
      </c>
      <c r="E11">
        <v>7</v>
      </c>
      <c r="F11">
        <v>31.21</v>
      </c>
      <c r="G11" t="s">
        <v>15</v>
      </c>
      <c r="H11" t="s">
        <v>50</v>
      </c>
      <c r="I11" t="s">
        <v>59</v>
      </c>
      <c r="J11" t="b">
        <v>1</v>
      </c>
      <c r="K11" t="s">
        <v>42</v>
      </c>
      <c r="L11" t="s">
        <v>19</v>
      </c>
      <c r="M11" t="s">
        <v>20</v>
      </c>
      <c r="N11">
        <f>YEAR(Table1[[#This Row],[Date]])</f>
        <v>2021</v>
      </c>
      <c r="O11" t="str">
        <f>TEXT(Table1[[#This Row],[Date]],"mmm")</f>
        <v>Jul</v>
      </c>
      <c r="P11" t="str">
        <f>IF(Table1[[#This Row],[Total_Cost]]&lt;25,"low",IF(Table1[[#This Row],[Total_Cost]]&lt;60,"medium","high"))</f>
        <v>medium</v>
      </c>
      <c r="Q11" t="str">
        <f>IF(Table1[[#This Row],[Discount_Applied]]=TRUE,"discount applied","no discount")</f>
        <v>discount applied</v>
      </c>
    </row>
    <row r="12" spans="1:17" x14ac:dyDescent="0.3">
      <c r="A12">
        <v>1000000010</v>
      </c>
      <c r="B12" s="1">
        <v>43908.790486111109</v>
      </c>
      <c r="C12" t="s">
        <v>60</v>
      </c>
      <c r="D12" t="s">
        <v>61</v>
      </c>
      <c r="E12">
        <v>8</v>
      </c>
      <c r="F12">
        <v>91.59</v>
      </c>
      <c r="G12" t="s">
        <v>41</v>
      </c>
      <c r="H12" t="s">
        <v>50</v>
      </c>
      <c r="I12" t="s">
        <v>33</v>
      </c>
      <c r="J12" t="b">
        <v>1</v>
      </c>
      <c r="K12" t="s">
        <v>62</v>
      </c>
      <c r="L12" t="s">
        <v>27</v>
      </c>
      <c r="M12" t="s">
        <v>28</v>
      </c>
      <c r="N12">
        <f>YEAR(Table1[[#This Row],[Date]])</f>
        <v>2020</v>
      </c>
      <c r="O12" t="str">
        <f>TEXT(Table1[[#This Row],[Date]],"mmm")</f>
        <v>Mar</v>
      </c>
      <c r="P12" t="str">
        <f>IF(Table1[[#This Row],[Total_Cost]]&lt;25,"low",IF(Table1[[#This Row],[Total_Cost]]&lt;60,"medium","high"))</f>
        <v>high</v>
      </c>
      <c r="Q12" t="str">
        <f>IF(Table1[[#This Row],[Discount_Applied]]=TRUE,"discount applied","no discount")</f>
        <v>discount applied</v>
      </c>
    </row>
    <row r="13" spans="1:17" x14ac:dyDescent="0.3">
      <c r="A13">
        <v>1000000011</v>
      </c>
      <c r="B13" s="1">
        <v>45015.810196759259</v>
      </c>
      <c r="C13" t="s">
        <v>63</v>
      </c>
      <c r="D13" t="s">
        <v>64</v>
      </c>
      <c r="E13">
        <v>7</v>
      </c>
      <c r="F13">
        <v>31.88</v>
      </c>
      <c r="G13" t="s">
        <v>15</v>
      </c>
      <c r="H13" t="s">
        <v>65</v>
      </c>
      <c r="I13" t="s">
        <v>25</v>
      </c>
      <c r="J13" t="b">
        <v>0</v>
      </c>
      <c r="K13" t="s">
        <v>42</v>
      </c>
      <c r="L13" t="s">
        <v>27</v>
      </c>
      <c r="M13" t="s">
        <v>43</v>
      </c>
      <c r="N13">
        <f>YEAR(Table1[[#This Row],[Date]])</f>
        <v>2023</v>
      </c>
      <c r="O13" t="str">
        <f>TEXT(Table1[[#This Row],[Date]],"mmm")</f>
        <v>Mar</v>
      </c>
      <c r="P13" t="str">
        <f>IF(Table1[[#This Row],[Total_Cost]]&lt;25,"low",IF(Table1[[#This Row],[Total_Cost]]&lt;60,"medium","high"))</f>
        <v>medium</v>
      </c>
      <c r="Q13" t="str">
        <f>IF(Table1[[#This Row],[Discount_Applied]]=TRUE,"discount applied","no discount")</f>
        <v>no discount</v>
      </c>
    </row>
    <row r="14" spans="1:17" x14ac:dyDescent="0.3">
      <c r="A14">
        <v>1000000012</v>
      </c>
      <c r="B14" s="1">
        <v>45073.661793981482</v>
      </c>
      <c r="C14" t="s">
        <v>66</v>
      </c>
      <c r="D14" t="s">
        <v>67</v>
      </c>
      <c r="E14">
        <v>9</v>
      </c>
      <c r="F14">
        <v>39.75</v>
      </c>
      <c r="G14" t="s">
        <v>41</v>
      </c>
      <c r="H14" t="s">
        <v>65</v>
      </c>
      <c r="I14" t="s">
        <v>37</v>
      </c>
      <c r="J14" t="b">
        <v>0</v>
      </c>
      <c r="K14" t="s">
        <v>51</v>
      </c>
      <c r="L14" t="s">
        <v>52</v>
      </c>
      <c r="M14" t="s">
        <v>43</v>
      </c>
      <c r="N14">
        <f>YEAR(Table1[[#This Row],[Date]])</f>
        <v>2023</v>
      </c>
      <c r="O14" t="str">
        <f>TEXT(Table1[[#This Row],[Date]],"mmm")</f>
        <v>May</v>
      </c>
      <c r="P14" t="str">
        <f>IF(Table1[[#This Row],[Total_Cost]]&lt;25,"low",IF(Table1[[#This Row],[Total_Cost]]&lt;60,"medium","high"))</f>
        <v>medium</v>
      </c>
      <c r="Q14" t="str">
        <f>IF(Table1[[#This Row],[Discount_Applied]]=TRUE,"discount applied","no discount")</f>
        <v>no discount</v>
      </c>
    </row>
    <row r="15" spans="1:17" x14ac:dyDescent="0.3">
      <c r="A15">
        <v>1000000013</v>
      </c>
      <c r="B15" s="1">
        <v>45018.391793981478</v>
      </c>
      <c r="C15" t="s">
        <v>68</v>
      </c>
      <c r="D15" t="s">
        <v>69</v>
      </c>
      <c r="E15">
        <v>7</v>
      </c>
      <c r="F15">
        <v>17.510000000000002</v>
      </c>
      <c r="G15" t="s">
        <v>15</v>
      </c>
      <c r="H15" t="s">
        <v>70</v>
      </c>
      <c r="I15" t="s">
        <v>17</v>
      </c>
      <c r="J15" t="b">
        <v>0</v>
      </c>
      <c r="K15" t="s">
        <v>47</v>
      </c>
      <c r="L15" t="s">
        <v>19</v>
      </c>
      <c r="M15" t="s">
        <v>28</v>
      </c>
      <c r="N15">
        <f>YEAR(Table1[[#This Row],[Date]])</f>
        <v>2023</v>
      </c>
      <c r="O15" t="str">
        <f>TEXT(Table1[[#This Row],[Date]],"mmm")</f>
        <v>Apr</v>
      </c>
      <c r="P15" t="str">
        <f>IF(Table1[[#This Row],[Total_Cost]]&lt;25,"low",IF(Table1[[#This Row],[Total_Cost]]&lt;60,"medium","high"))</f>
        <v>low</v>
      </c>
      <c r="Q15" t="str">
        <f>IF(Table1[[#This Row],[Discount_Applied]]=TRUE,"discount applied","no discount")</f>
        <v>no discount</v>
      </c>
    </row>
    <row r="16" spans="1:17" x14ac:dyDescent="0.3">
      <c r="A16">
        <v>1000000014</v>
      </c>
      <c r="B16" s="1">
        <v>43930.188252314816</v>
      </c>
      <c r="C16" t="s">
        <v>71</v>
      </c>
      <c r="D16" t="s">
        <v>72</v>
      </c>
      <c r="E16">
        <v>1</v>
      </c>
      <c r="F16">
        <v>33.64</v>
      </c>
      <c r="G16" t="s">
        <v>31</v>
      </c>
      <c r="H16" t="s">
        <v>24</v>
      </c>
      <c r="I16" t="s">
        <v>17</v>
      </c>
      <c r="J16" t="b">
        <v>1</v>
      </c>
      <c r="K16" t="s">
        <v>47</v>
      </c>
      <c r="L16" t="s">
        <v>38</v>
      </c>
      <c r="M16" t="s">
        <v>20</v>
      </c>
      <c r="N16">
        <f>YEAR(Table1[[#This Row],[Date]])</f>
        <v>2020</v>
      </c>
      <c r="O16" t="str">
        <f>TEXT(Table1[[#This Row],[Date]],"mmm")</f>
        <v>Apr</v>
      </c>
      <c r="P16" t="str">
        <f>IF(Table1[[#This Row],[Total_Cost]]&lt;25,"low",IF(Table1[[#This Row],[Total_Cost]]&lt;60,"medium","high"))</f>
        <v>medium</v>
      </c>
      <c r="Q16" t="str">
        <f>IF(Table1[[#This Row],[Discount_Applied]]=TRUE,"discount applied","no discount")</f>
        <v>discount applied</v>
      </c>
    </row>
    <row r="17" spans="1:17" x14ac:dyDescent="0.3">
      <c r="A17">
        <v>1000000015</v>
      </c>
      <c r="B17" s="1">
        <v>44197.186886574076</v>
      </c>
      <c r="C17" t="s">
        <v>73</v>
      </c>
      <c r="D17" t="s">
        <v>74</v>
      </c>
      <c r="E17">
        <v>7</v>
      </c>
      <c r="F17">
        <v>29.57</v>
      </c>
      <c r="G17" t="s">
        <v>15</v>
      </c>
      <c r="H17" t="s">
        <v>24</v>
      </c>
      <c r="I17" t="s">
        <v>59</v>
      </c>
      <c r="J17" t="b">
        <v>0</v>
      </c>
      <c r="K17" t="s">
        <v>47</v>
      </c>
      <c r="L17" t="s">
        <v>19</v>
      </c>
      <c r="M17" t="s">
        <v>28</v>
      </c>
      <c r="N17">
        <f>YEAR(Table1[[#This Row],[Date]])</f>
        <v>2021</v>
      </c>
      <c r="O17" t="str">
        <f>TEXT(Table1[[#This Row],[Date]],"mmm")</f>
        <v>Jan</v>
      </c>
      <c r="P17" t="str">
        <f>IF(Table1[[#This Row],[Total_Cost]]&lt;25,"low",IF(Table1[[#This Row],[Total_Cost]]&lt;60,"medium","high"))</f>
        <v>medium</v>
      </c>
      <c r="Q17" t="str">
        <f>IF(Table1[[#This Row],[Discount_Applied]]=TRUE,"discount applied","no discount")</f>
        <v>no discount</v>
      </c>
    </row>
    <row r="18" spans="1:17" x14ac:dyDescent="0.3">
      <c r="A18">
        <v>1000000016</v>
      </c>
      <c r="B18" s="1">
        <v>44484.558692129627</v>
      </c>
      <c r="C18" t="s">
        <v>75</v>
      </c>
      <c r="D18" t="s">
        <v>76</v>
      </c>
      <c r="E18">
        <v>5</v>
      </c>
      <c r="F18">
        <v>99.7</v>
      </c>
      <c r="G18" t="s">
        <v>15</v>
      </c>
      <c r="H18" t="s">
        <v>77</v>
      </c>
      <c r="I18" t="s">
        <v>25</v>
      </c>
      <c r="J18" t="b">
        <v>1</v>
      </c>
      <c r="K18" t="s">
        <v>18</v>
      </c>
      <c r="L18" t="s">
        <v>38</v>
      </c>
      <c r="M18" t="s">
        <v>20</v>
      </c>
      <c r="N18">
        <f>YEAR(Table1[[#This Row],[Date]])</f>
        <v>2021</v>
      </c>
      <c r="O18" t="str">
        <f>TEXT(Table1[[#This Row],[Date]],"mmm")</f>
        <v>Oct</v>
      </c>
      <c r="P18" t="str">
        <f>IF(Table1[[#This Row],[Total_Cost]]&lt;25,"low",IF(Table1[[#This Row],[Total_Cost]]&lt;60,"medium","high"))</f>
        <v>high</v>
      </c>
      <c r="Q18" t="str">
        <f>IF(Table1[[#This Row],[Discount_Applied]]=TRUE,"discount applied","no discount")</f>
        <v>discount applied</v>
      </c>
    </row>
    <row r="19" spans="1:17" x14ac:dyDescent="0.3">
      <c r="A19">
        <v>1000000017</v>
      </c>
      <c r="B19" s="1">
        <v>44455.394768518519</v>
      </c>
      <c r="C19" t="s">
        <v>78</v>
      </c>
      <c r="D19" t="s">
        <v>79</v>
      </c>
      <c r="E19">
        <v>8</v>
      </c>
      <c r="F19">
        <v>15.62</v>
      </c>
      <c r="G19" t="s">
        <v>31</v>
      </c>
      <c r="H19" t="s">
        <v>24</v>
      </c>
      <c r="I19" t="s">
        <v>33</v>
      </c>
      <c r="J19" t="b">
        <v>0</v>
      </c>
      <c r="K19" t="s">
        <v>80</v>
      </c>
      <c r="L19" t="s">
        <v>27</v>
      </c>
      <c r="M19" t="s">
        <v>20</v>
      </c>
      <c r="N19">
        <f>YEAR(Table1[[#This Row],[Date]])</f>
        <v>2021</v>
      </c>
      <c r="O19" t="str">
        <f>TEXT(Table1[[#This Row],[Date]],"mmm")</f>
        <v>Sep</v>
      </c>
      <c r="P19" t="str">
        <f>IF(Table1[[#This Row],[Total_Cost]]&lt;25,"low",IF(Table1[[#This Row],[Total_Cost]]&lt;60,"medium","high"))</f>
        <v>low</v>
      </c>
      <c r="Q19" t="str">
        <f>IF(Table1[[#This Row],[Discount_Applied]]=TRUE,"discount applied","no discount")</f>
        <v>no discount</v>
      </c>
    </row>
    <row r="20" spans="1:17" x14ac:dyDescent="0.3">
      <c r="A20">
        <v>1000000018</v>
      </c>
      <c r="B20" s="1">
        <v>44760.481574074074</v>
      </c>
      <c r="C20" t="s">
        <v>81</v>
      </c>
      <c r="D20" t="s">
        <v>82</v>
      </c>
      <c r="E20">
        <v>3</v>
      </c>
      <c r="F20">
        <v>98.28</v>
      </c>
      <c r="G20" t="s">
        <v>15</v>
      </c>
      <c r="H20" t="s">
        <v>65</v>
      </c>
      <c r="I20" t="s">
        <v>17</v>
      </c>
      <c r="J20" t="b">
        <v>0</v>
      </c>
      <c r="K20" t="s">
        <v>26</v>
      </c>
      <c r="L20" t="s">
        <v>27</v>
      </c>
      <c r="M20" t="s">
        <v>28</v>
      </c>
      <c r="N20">
        <f>YEAR(Table1[[#This Row],[Date]])</f>
        <v>2022</v>
      </c>
      <c r="O20" t="str">
        <f>TEXT(Table1[[#This Row],[Date]],"mmm")</f>
        <v>Jul</v>
      </c>
      <c r="P20" t="str">
        <f>IF(Table1[[#This Row],[Total_Cost]]&lt;25,"low",IF(Table1[[#This Row],[Total_Cost]]&lt;60,"medium","high"))</f>
        <v>high</v>
      </c>
      <c r="Q20" t="str">
        <f>IF(Table1[[#This Row],[Discount_Applied]]=TRUE,"discount applied","no discount")</f>
        <v>no discount</v>
      </c>
    </row>
    <row r="21" spans="1:17" x14ac:dyDescent="0.3">
      <c r="A21">
        <v>1000000019</v>
      </c>
      <c r="B21" s="1">
        <v>44227.327986111108</v>
      </c>
      <c r="C21" t="s">
        <v>83</v>
      </c>
      <c r="D21" t="s">
        <v>84</v>
      </c>
      <c r="E21">
        <v>7</v>
      </c>
      <c r="F21">
        <v>96.77</v>
      </c>
      <c r="G21" t="s">
        <v>41</v>
      </c>
      <c r="H21" t="s">
        <v>36</v>
      </c>
      <c r="I21" t="s">
        <v>33</v>
      </c>
      <c r="J21" t="b">
        <v>1</v>
      </c>
      <c r="K21" t="s">
        <v>18</v>
      </c>
      <c r="L21" t="s">
        <v>19</v>
      </c>
      <c r="M21" t="s">
        <v>43</v>
      </c>
      <c r="N21">
        <f>YEAR(Table1[[#This Row],[Date]])</f>
        <v>2021</v>
      </c>
      <c r="O21" t="str">
        <f>TEXT(Table1[[#This Row],[Date]],"mmm")</f>
        <v>Jan</v>
      </c>
      <c r="P21" t="str">
        <f>IF(Table1[[#This Row],[Total_Cost]]&lt;25,"low",IF(Table1[[#This Row],[Total_Cost]]&lt;60,"medium","high"))</f>
        <v>high</v>
      </c>
      <c r="Q21" t="str">
        <f>IF(Table1[[#This Row],[Discount_Applied]]=TRUE,"discount applied","no discount")</f>
        <v>discount applied</v>
      </c>
    </row>
    <row r="22" spans="1:17" x14ac:dyDescent="0.3">
      <c r="A22">
        <v>1000000020</v>
      </c>
      <c r="B22" s="1">
        <v>44500.323865740742</v>
      </c>
      <c r="C22" t="s">
        <v>85</v>
      </c>
      <c r="D22" t="s">
        <v>86</v>
      </c>
      <c r="E22">
        <v>7</v>
      </c>
      <c r="F22">
        <v>83.86</v>
      </c>
      <c r="G22" t="s">
        <v>23</v>
      </c>
      <c r="H22" t="s">
        <v>32</v>
      </c>
      <c r="I22" t="s">
        <v>37</v>
      </c>
      <c r="J22" t="b">
        <v>0</v>
      </c>
      <c r="K22" t="s">
        <v>87</v>
      </c>
      <c r="L22" t="s">
        <v>19</v>
      </c>
      <c r="M22" t="s">
        <v>43</v>
      </c>
      <c r="N22">
        <f>YEAR(Table1[[#This Row],[Date]])</f>
        <v>2021</v>
      </c>
      <c r="O22" t="str">
        <f>TEXT(Table1[[#This Row],[Date]],"mmm")</f>
        <v>Oct</v>
      </c>
      <c r="P22" t="str">
        <f>IF(Table1[[#This Row],[Total_Cost]]&lt;25,"low",IF(Table1[[#This Row],[Total_Cost]]&lt;60,"medium","high"))</f>
        <v>high</v>
      </c>
      <c r="Q22" t="str">
        <f>IF(Table1[[#This Row],[Discount_Applied]]=TRUE,"discount applied","no discount")</f>
        <v>no discount</v>
      </c>
    </row>
    <row r="23" spans="1:17" x14ac:dyDescent="0.3">
      <c r="A23">
        <v>1000000021</v>
      </c>
      <c r="B23" s="1">
        <v>44925.835636574076</v>
      </c>
      <c r="C23" t="s">
        <v>88</v>
      </c>
      <c r="D23" t="s">
        <v>89</v>
      </c>
      <c r="E23">
        <v>1</v>
      </c>
      <c r="F23">
        <v>39.93</v>
      </c>
      <c r="G23" t="s">
        <v>31</v>
      </c>
      <c r="H23" t="s">
        <v>77</v>
      </c>
      <c r="I23" t="s">
        <v>33</v>
      </c>
      <c r="J23" t="b">
        <v>0</v>
      </c>
      <c r="K23" t="s">
        <v>47</v>
      </c>
      <c r="L23" t="s">
        <v>52</v>
      </c>
      <c r="M23" t="s">
        <v>28</v>
      </c>
      <c r="N23">
        <f>YEAR(Table1[[#This Row],[Date]])</f>
        <v>2022</v>
      </c>
      <c r="O23" t="str">
        <f>TEXT(Table1[[#This Row],[Date]],"mmm")</f>
        <v>Dec</v>
      </c>
      <c r="P23" t="str">
        <f>IF(Table1[[#This Row],[Total_Cost]]&lt;25,"low",IF(Table1[[#This Row],[Total_Cost]]&lt;60,"medium","high"))</f>
        <v>medium</v>
      </c>
      <c r="Q23" t="str">
        <f>IF(Table1[[#This Row],[Discount_Applied]]=TRUE,"discount applied","no discount")</f>
        <v>no discount</v>
      </c>
    </row>
    <row r="24" spans="1:17" x14ac:dyDescent="0.3">
      <c r="A24">
        <v>1000000022</v>
      </c>
      <c r="B24" s="1">
        <v>44355.436793981484</v>
      </c>
      <c r="C24" t="s">
        <v>90</v>
      </c>
      <c r="D24" t="s">
        <v>91</v>
      </c>
      <c r="E24">
        <v>4</v>
      </c>
      <c r="F24">
        <v>35.619999999999997</v>
      </c>
      <c r="G24" t="s">
        <v>15</v>
      </c>
      <c r="H24" t="s">
        <v>65</v>
      </c>
      <c r="I24" t="s">
        <v>17</v>
      </c>
      <c r="J24" t="b">
        <v>1</v>
      </c>
      <c r="K24" t="s">
        <v>47</v>
      </c>
      <c r="L24" t="s">
        <v>38</v>
      </c>
      <c r="M24" t="s">
        <v>28</v>
      </c>
      <c r="N24">
        <f>YEAR(Table1[[#This Row],[Date]])</f>
        <v>2021</v>
      </c>
      <c r="O24" t="str">
        <f>TEXT(Table1[[#This Row],[Date]],"mmm")</f>
        <v>Jun</v>
      </c>
      <c r="P24" t="str">
        <f>IF(Table1[[#This Row],[Total_Cost]]&lt;25,"low",IF(Table1[[#This Row],[Total_Cost]]&lt;60,"medium","high"))</f>
        <v>medium</v>
      </c>
      <c r="Q24" t="str">
        <f>IF(Table1[[#This Row],[Discount_Applied]]=TRUE,"discount applied","no discount")</f>
        <v>discount applied</v>
      </c>
    </row>
    <row r="25" spans="1:17" x14ac:dyDescent="0.3">
      <c r="A25">
        <v>1000000023</v>
      </c>
      <c r="B25" s="1">
        <v>43833.975208333337</v>
      </c>
      <c r="C25" t="s">
        <v>92</v>
      </c>
      <c r="D25" t="s">
        <v>93</v>
      </c>
      <c r="E25">
        <v>7</v>
      </c>
      <c r="F25">
        <v>19.559999999999999</v>
      </c>
      <c r="G25" t="s">
        <v>23</v>
      </c>
      <c r="H25" t="s">
        <v>24</v>
      </c>
      <c r="I25" t="s">
        <v>33</v>
      </c>
      <c r="J25" t="b">
        <v>0</v>
      </c>
      <c r="K25" t="s">
        <v>47</v>
      </c>
      <c r="L25" t="s">
        <v>38</v>
      </c>
      <c r="M25" t="s">
        <v>28</v>
      </c>
      <c r="N25">
        <f>YEAR(Table1[[#This Row],[Date]])</f>
        <v>2020</v>
      </c>
      <c r="O25" t="str">
        <f>TEXT(Table1[[#This Row],[Date]],"mmm")</f>
        <v>Jan</v>
      </c>
      <c r="P25" t="str">
        <f>IF(Table1[[#This Row],[Total_Cost]]&lt;25,"low",IF(Table1[[#This Row],[Total_Cost]]&lt;60,"medium","high"))</f>
        <v>low</v>
      </c>
      <c r="Q25" t="str">
        <f>IF(Table1[[#This Row],[Discount_Applied]]=TRUE,"discount applied","no discount")</f>
        <v>no discount</v>
      </c>
    </row>
    <row r="26" spans="1:17" x14ac:dyDescent="0.3">
      <c r="A26">
        <v>1000000024</v>
      </c>
      <c r="B26" s="1">
        <v>44984.699259259258</v>
      </c>
      <c r="C26" t="s">
        <v>94</v>
      </c>
      <c r="D26" t="s">
        <v>95</v>
      </c>
      <c r="E26">
        <v>4</v>
      </c>
      <c r="F26">
        <v>24.03</v>
      </c>
      <c r="G26" t="s">
        <v>41</v>
      </c>
      <c r="H26" t="s">
        <v>96</v>
      </c>
      <c r="I26" t="s">
        <v>37</v>
      </c>
      <c r="J26" t="b">
        <v>0</v>
      </c>
      <c r="K26" t="s">
        <v>51</v>
      </c>
      <c r="L26" t="s">
        <v>19</v>
      </c>
      <c r="M26" t="s">
        <v>20</v>
      </c>
      <c r="N26">
        <f>YEAR(Table1[[#This Row],[Date]])</f>
        <v>2023</v>
      </c>
      <c r="O26" t="str">
        <f>TEXT(Table1[[#This Row],[Date]],"mmm")</f>
        <v>Feb</v>
      </c>
      <c r="P26" t="str">
        <f>IF(Table1[[#This Row],[Total_Cost]]&lt;25,"low",IF(Table1[[#This Row],[Total_Cost]]&lt;60,"medium","high"))</f>
        <v>low</v>
      </c>
      <c r="Q26" t="str">
        <f>IF(Table1[[#This Row],[Discount_Applied]]=TRUE,"discount applied","no discount")</f>
        <v>no discount</v>
      </c>
    </row>
    <row r="27" spans="1:17" x14ac:dyDescent="0.3">
      <c r="A27">
        <v>1000000025</v>
      </c>
      <c r="B27" s="1">
        <v>43875.554976851854</v>
      </c>
      <c r="C27" t="s">
        <v>97</v>
      </c>
      <c r="D27" t="s">
        <v>98</v>
      </c>
      <c r="E27">
        <v>10</v>
      </c>
      <c r="F27">
        <v>7.82</v>
      </c>
      <c r="G27" t="s">
        <v>31</v>
      </c>
      <c r="H27" t="s">
        <v>65</v>
      </c>
      <c r="I27" t="s">
        <v>59</v>
      </c>
      <c r="J27" t="b">
        <v>0</v>
      </c>
      <c r="K27" t="s">
        <v>26</v>
      </c>
      <c r="L27" t="s">
        <v>27</v>
      </c>
      <c r="M27" t="s">
        <v>28</v>
      </c>
      <c r="N27">
        <f>YEAR(Table1[[#This Row],[Date]])</f>
        <v>2020</v>
      </c>
      <c r="O27" t="str">
        <f>TEXT(Table1[[#This Row],[Date]],"mmm")</f>
        <v>Feb</v>
      </c>
      <c r="P27" t="str">
        <f>IF(Table1[[#This Row],[Total_Cost]]&lt;25,"low",IF(Table1[[#This Row],[Total_Cost]]&lt;60,"medium","high"))</f>
        <v>low</v>
      </c>
      <c r="Q27" t="str">
        <f>IF(Table1[[#This Row],[Discount_Applied]]=TRUE,"discount applied","no discount")</f>
        <v>no discount</v>
      </c>
    </row>
    <row r="28" spans="1:17" x14ac:dyDescent="0.3">
      <c r="A28">
        <v>1000000026</v>
      </c>
      <c r="B28" s="1">
        <v>44095.440740740742</v>
      </c>
      <c r="C28" t="s">
        <v>99</v>
      </c>
      <c r="D28" t="s">
        <v>100</v>
      </c>
      <c r="E28">
        <v>6</v>
      </c>
      <c r="F28">
        <v>49.45</v>
      </c>
      <c r="G28" t="s">
        <v>41</v>
      </c>
      <c r="H28" t="s">
        <v>96</v>
      </c>
      <c r="I28" t="s">
        <v>17</v>
      </c>
      <c r="J28" t="b">
        <v>0</v>
      </c>
      <c r="K28" t="s">
        <v>80</v>
      </c>
      <c r="L28" t="s">
        <v>19</v>
      </c>
      <c r="M28" t="s">
        <v>43</v>
      </c>
      <c r="N28">
        <f>YEAR(Table1[[#This Row],[Date]])</f>
        <v>2020</v>
      </c>
      <c r="O28" t="str">
        <f>TEXT(Table1[[#This Row],[Date]],"mmm")</f>
        <v>Sep</v>
      </c>
      <c r="P28" t="str">
        <f>IF(Table1[[#This Row],[Total_Cost]]&lt;25,"low",IF(Table1[[#This Row],[Total_Cost]]&lt;60,"medium","high"))</f>
        <v>medium</v>
      </c>
      <c r="Q28" t="str">
        <f>IF(Table1[[#This Row],[Discount_Applied]]=TRUE,"discount applied","no discount")</f>
        <v>no discount</v>
      </c>
    </row>
    <row r="29" spans="1:17" x14ac:dyDescent="0.3">
      <c r="A29">
        <v>1000000027</v>
      </c>
      <c r="B29" s="1">
        <v>43916.922615740739</v>
      </c>
      <c r="C29" t="s">
        <v>101</v>
      </c>
      <c r="D29" t="s">
        <v>102</v>
      </c>
      <c r="E29">
        <v>10</v>
      </c>
      <c r="F29">
        <v>29.36</v>
      </c>
      <c r="G29" t="s">
        <v>15</v>
      </c>
      <c r="H29" t="s">
        <v>50</v>
      </c>
      <c r="I29" t="s">
        <v>25</v>
      </c>
      <c r="J29" t="b">
        <v>0</v>
      </c>
      <c r="K29" t="s">
        <v>26</v>
      </c>
      <c r="L29" t="s">
        <v>38</v>
      </c>
      <c r="M29" t="s">
        <v>20</v>
      </c>
      <c r="N29">
        <f>YEAR(Table1[[#This Row],[Date]])</f>
        <v>2020</v>
      </c>
      <c r="O29" t="str">
        <f>TEXT(Table1[[#This Row],[Date]],"mmm")</f>
        <v>Mar</v>
      </c>
      <c r="P29" t="str">
        <f>IF(Table1[[#This Row],[Total_Cost]]&lt;25,"low",IF(Table1[[#This Row],[Total_Cost]]&lt;60,"medium","high"))</f>
        <v>medium</v>
      </c>
      <c r="Q29" t="str">
        <f>IF(Table1[[#This Row],[Discount_Applied]]=TRUE,"discount applied","no discount")</f>
        <v>no discount</v>
      </c>
    </row>
    <row r="30" spans="1:17" x14ac:dyDescent="0.3">
      <c r="A30">
        <v>1000000028</v>
      </c>
      <c r="B30" s="1">
        <v>44786.059942129628</v>
      </c>
      <c r="C30" t="s">
        <v>103</v>
      </c>
      <c r="D30" t="s">
        <v>104</v>
      </c>
      <c r="E30">
        <v>7</v>
      </c>
      <c r="F30">
        <v>21.08</v>
      </c>
      <c r="G30" t="s">
        <v>31</v>
      </c>
      <c r="H30" t="s">
        <v>24</v>
      </c>
      <c r="I30" t="s">
        <v>25</v>
      </c>
      <c r="J30" t="b">
        <v>1</v>
      </c>
      <c r="K30" t="s">
        <v>87</v>
      </c>
      <c r="L30" t="s">
        <v>27</v>
      </c>
      <c r="M30" t="s">
        <v>20</v>
      </c>
      <c r="N30">
        <f>YEAR(Table1[[#This Row],[Date]])</f>
        <v>2022</v>
      </c>
      <c r="O30" t="str">
        <f>TEXT(Table1[[#This Row],[Date]],"mmm")</f>
        <v>Aug</v>
      </c>
      <c r="P30" t="str">
        <f>IF(Table1[[#This Row],[Total_Cost]]&lt;25,"low",IF(Table1[[#This Row],[Total_Cost]]&lt;60,"medium","high"))</f>
        <v>low</v>
      </c>
      <c r="Q30" t="str">
        <f>IF(Table1[[#This Row],[Discount_Applied]]=TRUE,"discount applied","no discount")</f>
        <v>discount applied</v>
      </c>
    </row>
    <row r="31" spans="1:17" x14ac:dyDescent="0.3">
      <c r="A31">
        <v>1000000029</v>
      </c>
      <c r="B31" s="1">
        <v>43888.433287037034</v>
      </c>
      <c r="C31" t="s">
        <v>105</v>
      </c>
      <c r="D31" t="s">
        <v>106</v>
      </c>
      <c r="E31">
        <v>7</v>
      </c>
      <c r="F31">
        <v>75.38</v>
      </c>
      <c r="G31" t="s">
        <v>15</v>
      </c>
      <c r="H31" t="s">
        <v>32</v>
      </c>
      <c r="I31" t="s">
        <v>59</v>
      </c>
      <c r="J31" t="b">
        <v>1</v>
      </c>
      <c r="K31" t="s">
        <v>87</v>
      </c>
      <c r="L31" t="s">
        <v>52</v>
      </c>
      <c r="M31" t="s">
        <v>43</v>
      </c>
      <c r="N31">
        <f>YEAR(Table1[[#This Row],[Date]])</f>
        <v>2020</v>
      </c>
      <c r="O31" t="str">
        <f>TEXT(Table1[[#This Row],[Date]],"mmm")</f>
        <v>Feb</v>
      </c>
      <c r="P31" t="str">
        <f>IF(Table1[[#This Row],[Total_Cost]]&lt;25,"low",IF(Table1[[#This Row],[Total_Cost]]&lt;60,"medium","high"))</f>
        <v>high</v>
      </c>
      <c r="Q31" t="str">
        <f>IF(Table1[[#This Row],[Discount_Applied]]=TRUE,"discount applied","no discount")</f>
        <v>discount applied</v>
      </c>
    </row>
    <row r="32" spans="1:17" x14ac:dyDescent="0.3">
      <c r="A32">
        <v>1000000030</v>
      </c>
      <c r="B32" s="1">
        <v>44934.957916666666</v>
      </c>
      <c r="C32" t="s">
        <v>107</v>
      </c>
      <c r="D32" t="s">
        <v>108</v>
      </c>
      <c r="E32">
        <v>1</v>
      </c>
      <c r="F32">
        <v>73.17</v>
      </c>
      <c r="G32" t="s">
        <v>41</v>
      </c>
      <c r="H32" t="s">
        <v>50</v>
      </c>
      <c r="I32" t="s">
        <v>25</v>
      </c>
      <c r="J32" t="b">
        <v>1</v>
      </c>
      <c r="K32" t="s">
        <v>80</v>
      </c>
      <c r="L32" t="s">
        <v>38</v>
      </c>
      <c r="M32" t="s">
        <v>20</v>
      </c>
      <c r="N32">
        <f>YEAR(Table1[[#This Row],[Date]])</f>
        <v>2023</v>
      </c>
      <c r="O32" t="str">
        <f>TEXT(Table1[[#This Row],[Date]],"mmm")</f>
        <v>Jan</v>
      </c>
      <c r="P32" t="str">
        <f>IF(Table1[[#This Row],[Total_Cost]]&lt;25,"low",IF(Table1[[#This Row],[Total_Cost]]&lt;60,"medium","high"))</f>
        <v>high</v>
      </c>
      <c r="Q32" t="str">
        <f>IF(Table1[[#This Row],[Discount_Applied]]=TRUE,"discount applied","no discount")</f>
        <v>discount applied</v>
      </c>
    </row>
    <row r="33" spans="1:17" x14ac:dyDescent="0.3">
      <c r="A33">
        <v>1000000031</v>
      </c>
      <c r="B33" s="1">
        <v>45416.557303240741</v>
      </c>
      <c r="C33" t="s">
        <v>109</v>
      </c>
      <c r="D33" t="s">
        <v>110</v>
      </c>
      <c r="E33">
        <v>4</v>
      </c>
      <c r="F33">
        <v>13.34</v>
      </c>
      <c r="G33" t="s">
        <v>41</v>
      </c>
      <c r="H33" t="s">
        <v>32</v>
      </c>
      <c r="I33" t="s">
        <v>33</v>
      </c>
      <c r="J33" t="b">
        <v>0</v>
      </c>
      <c r="K33" t="s">
        <v>87</v>
      </c>
      <c r="L33" t="s">
        <v>52</v>
      </c>
      <c r="M33" t="s">
        <v>20</v>
      </c>
      <c r="N33">
        <f>YEAR(Table1[[#This Row],[Date]])</f>
        <v>2024</v>
      </c>
      <c r="O33" t="str">
        <f>TEXT(Table1[[#This Row],[Date]],"mmm")</f>
        <v>May</v>
      </c>
      <c r="P33" t="str">
        <f>IF(Table1[[#This Row],[Total_Cost]]&lt;25,"low",IF(Table1[[#This Row],[Total_Cost]]&lt;60,"medium","high"))</f>
        <v>low</v>
      </c>
      <c r="Q33" t="str">
        <f>IF(Table1[[#This Row],[Discount_Applied]]=TRUE,"discount applied","no discount")</f>
        <v>no discount</v>
      </c>
    </row>
    <row r="34" spans="1:17" x14ac:dyDescent="0.3">
      <c r="A34">
        <v>1000000032</v>
      </c>
      <c r="B34" s="1">
        <v>45020.456354166665</v>
      </c>
      <c r="C34" t="s">
        <v>111</v>
      </c>
      <c r="D34" t="s">
        <v>112</v>
      </c>
      <c r="E34">
        <v>7</v>
      </c>
      <c r="F34">
        <v>41.4</v>
      </c>
      <c r="G34" t="s">
        <v>41</v>
      </c>
      <c r="H34" t="s">
        <v>36</v>
      </c>
      <c r="I34" t="s">
        <v>46</v>
      </c>
      <c r="J34" t="b">
        <v>0</v>
      </c>
      <c r="K34" t="s">
        <v>62</v>
      </c>
      <c r="L34" t="s">
        <v>38</v>
      </c>
      <c r="M34" t="s">
        <v>20</v>
      </c>
      <c r="N34">
        <f>YEAR(Table1[[#This Row],[Date]])</f>
        <v>2023</v>
      </c>
      <c r="O34" t="str">
        <f>TEXT(Table1[[#This Row],[Date]],"mmm")</f>
        <v>Apr</v>
      </c>
      <c r="P34" t="str">
        <f>IF(Table1[[#This Row],[Total_Cost]]&lt;25,"low",IF(Table1[[#This Row],[Total_Cost]]&lt;60,"medium","high"))</f>
        <v>medium</v>
      </c>
      <c r="Q34" t="str">
        <f>IF(Table1[[#This Row],[Discount_Applied]]=TRUE,"discount applied","no discount")</f>
        <v>no discount</v>
      </c>
    </row>
    <row r="35" spans="1:17" x14ac:dyDescent="0.3">
      <c r="A35">
        <v>1000000033</v>
      </c>
      <c r="B35" s="1">
        <v>44646.8047337963</v>
      </c>
      <c r="C35" t="s">
        <v>113</v>
      </c>
      <c r="D35" t="s">
        <v>114</v>
      </c>
      <c r="E35">
        <v>8</v>
      </c>
      <c r="F35">
        <v>26.67</v>
      </c>
      <c r="G35" t="s">
        <v>31</v>
      </c>
      <c r="H35" t="s">
        <v>36</v>
      </c>
      <c r="I35" t="s">
        <v>25</v>
      </c>
      <c r="J35" t="b">
        <v>1</v>
      </c>
      <c r="K35" t="s">
        <v>18</v>
      </c>
      <c r="L35" t="s">
        <v>38</v>
      </c>
      <c r="M35" t="s">
        <v>43</v>
      </c>
      <c r="N35">
        <f>YEAR(Table1[[#This Row],[Date]])</f>
        <v>2022</v>
      </c>
      <c r="O35" t="str">
        <f>TEXT(Table1[[#This Row],[Date]],"mmm")</f>
        <v>Mar</v>
      </c>
      <c r="P35" t="str">
        <f>IF(Table1[[#This Row],[Total_Cost]]&lt;25,"low",IF(Table1[[#This Row],[Total_Cost]]&lt;60,"medium","high"))</f>
        <v>medium</v>
      </c>
      <c r="Q35" t="str">
        <f>IF(Table1[[#This Row],[Discount_Applied]]=TRUE,"discount applied","no discount")</f>
        <v>discount applied</v>
      </c>
    </row>
    <row r="36" spans="1:17" x14ac:dyDescent="0.3">
      <c r="A36">
        <v>1000000034</v>
      </c>
      <c r="B36" s="1">
        <v>44964.59</v>
      </c>
      <c r="C36" t="s">
        <v>115</v>
      </c>
      <c r="D36" t="s">
        <v>116</v>
      </c>
      <c r="E36">
        <v>5</v>
      </c>
      <c r="F36">
        <v>34.270000000000003</v>
      </c>
      <c r="G36" t="s">
        <v>31</v>
      </c>
      <c r="H36" t="s">
        <v>24</v>
      </c>
      <c r="I36" t="s">
        <v>46</v>
      </c>
      <c r="J36" t="b">
        <v>1</v>
      </c>
      <c r="K36" t="s">
        <v>87</v>
      </c>
      <c r="L36" t="s">
        <v>52</v>
      </c>
      <c r="M36" t="s">
        <v>28</v>
      </c>
      <c r="N36">
        <f>YEAR(Table1[[#This Row],[Date]])</f>
        <v>2023</v>
      </c>
      <c r="O36" t="str">
        <f>TEXT(Table1[[#This Row],[Date]],"mmm")</f>
        <v>Feb</v>
      </c>
      <c r="P36" t="str">
        <f>IF(Table1[[#This Row],[Total_Cost]]&lt;25,"low",IF(Table1[[#This Row],[Total_Cost]]&lt;60,"medium","high"))</f>
        <v>medium</v>
      </c>
      <c r="Q36" t="str">
        <f>IF(Table1[[#This Row],[Discount_Applied]]=TRUE,"discount applied","no discount")</f>
        <v>discount applied</v>
      </c>
    </row>
    <row r="37" spans="1:17" x14ac:dyDescent="0.3">
      <c r="A37">
        <v>1000000035</v>
      </c>
      <c r="B37" s="1">
        <v>44846.498506944445</v>
      </c>
      <c r="C37" t="s">
        <v>117</v>
      </c>
      <c r="D37" t="s">
        <v>118</v>
      </c>
      <c r="E37">
        <v>10</v>
      </c>
      <c r="F37">
        <v>62.33</v>
      </c>
      <c r="G37" t="s">
        <v>31</v>
      </c>
      <c r="H37" t="s">
        <v>77</v>
      </c>
      <c r="I37" t="s">
        <v>17</v>
      </c>
      <c r="J37" t="b">
        <v>0</v>
      </c>
      <c r="K37" t="s">
        <v>42</v>
      </c>
      <c r="L37" t="s">
        <v>38</v>
      </c>
      <c r="M37" t="s">
        <v>20</v>
      </c>
      <c r="N37">
        <f>YEAR(Table1[[#This Row],[Date]])</f>
        <v>2022</v>
      </c>
      <c r="O37" t="str">
        <f>TEXT(Table1[[#This Row],[Date]],"mmm")</f>
        <v>Oct</v>
      </c>
      <c r="P37" t="str">
        <f>IF(Table1[[#This Row],[Total_Cost]]&lt;25,"low",IF(Table1[[#This Row],[Total_Cost]]&lt;60,"medium","high"))</f>
        <v>high</v>
      </c>
      <c r="Q37" t="str">
        <f>IF(Table1[[#This Row],[Discount_Applied]]=TRUE,"discount applied","no discount")</f>
        <v>no discount</v>
      </c>
    </row>
    <row r="38" spans="1:17" x14ac:dyDescent="0.3">
      <c r="A38">
        <v>1000000036</v>
      </c>
      <c r="B38" s="1">
        <v>44120.378680555557</v>
      </c>
      <c r="C38" t="s">
        <v>119</v>
      </c>
      <c r="D38" t="s">
        <v>120</v>
      </c>
      <c r="E38">
        <v>4</v>
      </c>
      <c r="F38">
        <v>19.11</v>
      </c>
      <c r="G38" t="s">
        <v>41</v>
      </c>
      <c r="H38" t="s">
        <v>36</v>
      </c>
      <c r="I38" t="s">
        <v>59</v>
      </c>
      <c r="J38" t="b">
        <v>1</v>
      </c>
      <c r="K38" t="s">
        <v>62</v>
      </c>
      <c r="L38" t="s">
        <v>19</v>
      </c>
      <c r="M38" t="s">
        <v>43</v>
      </c>
      <c r="N38">
        <f>YEAR(Table1[[#This Row],[Date]])</f>
        <v>2020</v>
      </c>
      <c r="O38" t="str">
        <f>TEXT(Table1[[#This Row],[Date]],"mmm")</f>
        <v>Oct</v>
      </c>
      <c r="P38" t="str">
        <f>IF(Table1[[#This Row],[Total_Cost]]&lt;25,"low",IF(Table1[[#This Row],[Total_Cost]]&lt;60,"medium","high"))</f>
        <v>low</v>
      </c>
      <c r="Q38" t="str">
        <f>IF(Table1[[#This Row],[Discount_Applied]]=TRUE,"discount applied","no discount")</f>
        <v>discount applied</v>
      </c>
    </row>
    <row r="39" spans="1:17" x14ac:dyDescent="0.3">
      <c r="A39">
        <v>1000000037</v>
      </c>
      <c r="B39" s="1">
        <v>43982.232997685183</v>
      </c>
      <c r="C39" t="s">
        <v>121</v>
      </c>
      <c r="D39" t="s">
        <v>122</v>
      </c>
      <c r="E39">
        <v>4</v>
      </c>
      <c r="F39">
        <v>25.76</v>
      </c>
      <c r="G39" t="s">
        <v>15</v>
      </c>
      <c r="H39" t="s">
        <v>16</v>
      </c>
      <c r="I39" t="s">
        <v>17</v>
      </c>
      <c r="J39" t="b">
        <v>1</v>
      </c>
      <c r="K39" t="s">
        <v>18</v>
      </c>
      <c r="L39" t="s">
        <v>27</v>
      </c>
      <c r="M39" t="s">
        <v>28</v>
      </c>
      <c r="N39">
        <f>YEAR(Table1[[#This Row],[Date]])</f>
        <v>2020</v>
      </c>
      <c r="O39" t="str">
        <f>TEXT(Table1[[#This Row],[Date]],"mmm")</f>
        <v>May</v>
      </c>
      <c r="P39" t="str">
        <f>IF(Table1[[#This Row],[Total_Cost]]&lt;25,"low",IF(Table1[[#This Row],[Total_Cost]]&lt;60,"medium","high"))</f>
        <v>medium</v>
      </c>
      <c r="Q39" t="str">
        <f>IF(Table1[[#This Row],[Discount_Applied]]=TRUE,"discount applied","no discount")</f>
        <v>discount applied</v>
      </c>
    </row>
    <row r="40" spans="1:17" x14ac:dyDescent="0.3">
      <c r="A40">
        <v>1000000038</v>
      </c>
      <c r="B40" s="1">
        <v>44023.927361111113</v>
      </c>
      <c r="C40" t="s">
        <v>123</v>
      </c>
      <c r="D40" t="s">
        <v>124</v>
      </c>
      <c r="E40">
        <v>7</v>
      </c>
      <c r="F40">
        <v>61.55</v>
      </c>
      <c r="G40" t="s">
        <v>31</v>
      </c>
      <c r="H40" t="s">
        <v>65</v>
      </c>
      <c r="I40" t="s">
        <v>59</v>
      </c>
      <c r="J40" t="b">
        <v>0</v>
      </c>
      <c r="K40" t="s">
        <v>51</v>
      </c>
      <c r="L40" t="s">
        <v>27</v>
      </c>
      <c r="M40" t="s">
        <v>20</v>
      </c>
      <c r="N40">
        <f>YEAR(Table1[[#This Row],[Date]])</f>
        <v>2020</v>
      </c>
      <c r="O40" t="str">
        <f>TEXT(Table1[[#This Row],[Date]],"mmm")</f>
        <v>Jul</v>
      </c>
      <c r="P40" t="str">
        <f>IF(Table1[[#This Row],[Total_Cost]]&lt;25,"low",IF(Table1[[#This Row],[Total_Cost]]&lt;60,"medium","high"))</f>
        <v>high</v>
      </c>
      <c r="Q40" t="str">
        <f>IF(Table1[[#This Row],[Discount_Applied]]=TRUE,"discount applied","no discount")</f>
        <v>no discount</v>
      </c>
    </row>
    <row r="41" spans="1:17" x14ac:dyDescent="0.3">
      <c r="A41">
        <v>1000000039</v>
      </c>
      <c r="B41" s="1">
        <v>45118.483634259261</v>
      </c>
      <c r="C41" t="s">
        <v>125</v>
      </c>
      <c r="D41" t="s">
        <v>126</v>
      </c>
      <c r="E41">
        <v>5</v>
      </c>
      <c r="F41">
        <v>39.08</v>
      </c>
      <c r="G41" t="s">
        <v>23</v>
      </c>
      <c r="H41" t="s">
        <v>96</v>
      </c>
      <c r="I41" t="s">
        <v>46</v>
      </c>
      <c r="J41" t="b">
        <v>0</v>
      </c>
      <c r="K41" t="s">
        <v>42</v>
      </c>
      <c r="L41" t="s">
        <v>38</v>
      </c>
      <c r="M41" t="s">
        <v>20</v>
      </c>
      <c r="N41">
        <f>YEAR(Table1[[#This Row],[Date]])</f>
        <v>2023</v>
      </c>
      <c r="O41" t="str">
        <f>TEXT(Table1[[#This Row],[Date]],"mmm")</f>
        <v>Jul</v>
      </c>
      <c r="P41" t="str">
        <f>IF(Table1[[#This Row],[Total_Cost]]&lt;25,"low",IF(Table1[[#This Row],[Total_Cost]]&lt;60,"medium","high"))</f>
        <v>medium</v>
      </c>
      <c r="Q41" t="str">
        <f>IF(Table1[[#This Row],[Discount_Applied]]=TRUE,"discount applied","no discount")</f>
        <v>no discount</v>
      </c>
    </row>
    <row r="42" spans="1:17" x14ac:dyDescent="0.3">
      <c r="A42">
        <v>1000000040</v>
      </c>
      <c r="B42" s="1">
        <v>44712.714745370373</v>
      </c>
      <c r="C42" t="s">
        <v>127</v>
      </c>
      <c r="D42" t="s">
        <v>128</v>
      </c>
      <c r="E42">
        <v>4</v>
      </c>
      <c r="F42">
        <v>12.97</v>
      </c>
      <c r="G42" t="s">
        <v>31</v>
      </c>
      <c r="H42" t="s">
        <v>129</v>
      </c>
      <c r="I42" t="s">
        <v>33</v>
      </c>
      <c r="J42" t="b">
        <v>0</v>
      </c>
      <c r="K42" t="s">
        <v>26</v>
      </c>
      <c r="L42" t="s">
        <v>19</v>
      </c>
      <c r="M42" t="s">
        <v>20</v>
      </c>
      <c r="N42">
        <f>YEAR(Table1[[#This Row],[Date]])</f>
        <v>2022</v>
      </c>
      <c r="O42" t="str">
        <f>TEXT(Table1[[#This Row],[Date]],"mmm")</f>
        <v>May</v>
      </c>
      <c r="P42" t="str">
        <f>IF(Table1[[#This Row],[Total_Cost]]&lt;25,"low",IF(Table1[[#This Row],[Total_Cost]]&lt;60,"medium","high"))</f>
        <v>low</v>
      </c>
      <c r="Q42" t="str">
        <f>IF(Table1[[#This Row],[Discount_Applied]]=TRUE,"discount applied","no discount")</f>
        <v>no discount</v>
      </c>
    </row>
    <row r="43" spans="1:17" x14ac:dyDescent="0.3">
      <c r="A43">
        <v>1000000041</v>
      </c>
      <c r="B43" s="1">
        <v>45108.841145833336</v>
      </c>
      <c r="C43" t="s">
        <v>130</v>
      </c>
      <c r="D43" t="s">
        <v>131</v>
      </c>
      <c r="E43">
        <v>8</v>
      </c>
      <c r="F43">
        <v>56.99</v>
      </c>
      <c r="G43" t="s">
        <v>41</v>
      </c>
      <c r="H43" t="s">
        <v>77</v>
      </c>
      <c r="I43" t="s">
        <v>25</v>
      </c>
      <c r="J43" t="b">
        <v>1</v>
      </c>
      <c r="K43" t="s">
        <v>47</v>
      </c>
      <c r="L43" t="s">
        <v>52</v>
      </c>
      <c r="M43" t="s">
        <v>43</v>
      </c>
      <c r="N43">
        <f>YEAR(Table1[[#This Row],[Date]])</f>
        <v>2023</v>
      </c>
      <c r="O43" t="str">
        <f>TEXT(Table1[[#This Row],[Date]],"mmm")</f>
        <v>Jul</v>
      </c>
      <c r="P43" t="str">
        <f>IF(Table1[[#This Row],[Total_Cost]]&lt;25,"low",IF(Table1[[#This Row],[Total_Cost]]&lt;60,"medium","high"))</f>
        <v>medium</v>
      </c>
      <c r="Q43" t="str">
        <f>IF(Table1[[#This Row],[Discount_Applied]]=TRUE,"discount applied","no discount")</f>
        <v>discount applied</v>
      </c>
    </row>
    <row r="44" spans="1:17" x14ac:dyDescent="0.3">
      <c r="A44">
        <v>1000000042</v>
      </c>
      <c r="B44" s="1">
        <v>45243.533703703702</v>
      </c>
      <c r="C44" t="s">
        <v>132</v>
      </c>
      <c r="D44" t="s">
        <v>133</v>
      </c>
      <c r="E44">
        <v>9</v>
      </c>
      <c r="F44">
        <v>99.77</v>
      </c>
      <c r="G44" t="s">
        <v>23</v>
      </c>
      <c r="H44" t="s">
        <v>50</v>
      </c>
      <c r="I44" t="s">
        <v>25</v>
      </c>
      <c r="J44" t="b">
        <v>1</v>
      </c>
      <c r="K44" t="s">
        <v>26</v>
      </c>
      <c r="L44" t="s">
        <v>38</v>
      </c>
      <c r="M44" t="s">
        <v>43</v>
      </c>
      <c r="N44">
        <f>YEAR(Table1[[#This Row],[Date]])</f>
        <v>2023</v>
      </c>
      <c r="O44" t="str">
        <f>TEXT(Table1[[#This Row],[Date]],"mmm")</f>
        <v>Nov</v>
      </c>
      <c r="P44" t="str">
        <f>IF(Table1[[#This Row],[Total_Cost]]&lt;25,"low",IF(Table1[[#This Row],[Total_Cost]]&lt;60,"medium","high"))</f>
        <v>high</v>
      </c>
      <c r="Q44" t="str">
        <f>IF(Table1[[#This Row],[Discount_Applied]]=TRUE,"discount applied","no discount")</f>
        <v>discount applied</v>
      </c>
    </row>
    <row r="45" spans="1:17" x14ac:dyDescent="0.3">
      <c r="A45">
        <v>1000000043</v>
      </c>
      <c r="B45" s="1">
        <v>44116.527708333335</v>
      </c>
      <c r="C45" t="s">
        <v>134</v>
      </c>
      <c r="D45" t="s">
        <v>135</v>
      </c>
      <c r="E45">
        <v>8</v>
      </c>
      <c r="F45">
        <v>29.82</v>
      </c>
      <c r="G45" t="s">
        <v>23</v>
      </c>
      <c r="H45" t="s">
        <v>129</v>
      </c>
      <c r="I45" t="s">
        <v>25</v>
      </c>
      <c r="J45" t="b">
        <v>0</v>
      </c>
      <c r="K45" t="s">
        <v>51</v>
      </c>
      <c r="L45" t="s">
        <v>19</v>
      </c>
      <c r="M45" t="s">
        <v>43</v>
      </c>
      <c r="N45">
        <f>YEAR(Table1[[#This Row],[Date]])</f>
        <v>2020</v>
      </c>
      <c r="O45" t="str">
        <f>TEXT(Table1[[#This Row],[Date]],"mmm")</f>
        <v>Oct</v>
      </c>
      <c r="P45" t="str">
        <f>IF(Table1[[#This Row],[Total_Cost]]&lt;25,"low",IF(Table1[[#This Row],[Total_Cost]]&lt;60,"medium","high"))</f>
        <v>medium</v>
      </c>
      <c r="Q45" t="str">
        <f>IF(Table1[[#This Row],[Discount_Applied]]=TRUE,"discount applied","no discount")</f>
        <v>no discount</v>
      </c>
    </row>
    <row r="46" spans="1:17" x14ac:dyDescent="0.3">
      <c r="A46">
        <v>1000000044</v>
      </c>
      <c r="B46" s="1">
        <v>44825.214965277781</v>
      </c>
      <c r="C46" t="s">
        <v>136</v>
      </c>
      <c r="D46" t="s">
        <v>137</v>
      </c>
      <c r="E46">
        <v>7</v>
      </c>
      <c r="F46">
        <v>89.97</v>
      </c>
      <c r="G46" t="s">
        <v>23</v>
      </c>
      <c r="H46" t="s">
        <v>129</v>
      </c>
      <c r="I46" t="s">
        <v>33</v>
      </c>
      <c r="J46" t="b">
        <v>0</v>
      </c>
      <c r="K46" t="s">
        <v>62</v>
      </c>
      <c r="L46" t="s">
        <v>19</v>
      </c>
      <c r="M46" t="s">
        <v>20</v>
      </c>
      <c r="N46">
        <f>YEAR(Table1[[#This Row],[Date]])</f>
        <v>2022</v>
      </c>
      <c r="O46" t="str">
        <f>TEXT(Table1[[#This Row],[Date]],"mmm")</f>
        <v>Sep</v>
      </c>
      <c r="P46" t="str">
        <f>IF(Table1[[#This Row],[Total_Cost]]&lt;25,"low",IF(Table1[[#This Row],[Total_Cost]]&lt;60,"medium","high"))</f>
        <v>high</v>
      </c>
      <c r="Q46" t="str">
        <f>IF(Table1[[#This Row],[Discount_Applied]]=TRUE,"discount applied","no discount")</f>
        <v>no discount</v>
      </c>
    </row>
    <row r="47" spans="1:17" x14ac:dyDescent="0.3">
      <c r="A47">
        <v>1000000045</v>
      </c>
      <c r="B47" s="1">
        <v>44862.762025462966</v>
      </c>
      <c r="C47" t="s">
        <v>138</v>
      </c>
      <c r="D47" t="s">
        <v>139</v>
      </c>
      <c r="E47">
        <v>2</v>
      </c>
      <c r="F47">
        <v>83.55</v>
      </c>
      <c r="G47" t="s">
        <v>31</v>
      </c>
      <c r="H47" t="s">
        <v>36</v>
      </c>
      <c r="I47" t="s">
        <v>59</v>
      </c>
      <c r="J47" t="b">
        <v>0</v>
      </c>
      <c r="K47" t="s">
        <v>26</v>
      </c>
      <c r="L47" t="s">
        <v>38</v>
      </c>
      <c r="M47" t="s">
        <v>43</v>
      </c>
      <c r="N47">
        <f>YEAR(Table1[[#This Row],[Date]])</f>
        <v>2022</v>
      </c>
      <c r="O47" t="str">
        <f>TEXT(Table1[[#This Row],[Date]],"mmm")</f>
        <v>Oct</v>
      </c>
      <c r="P47" t="str">
        <f>IF(Table1[[#This Row],[Total_Cost]]&lt;25,"low",IF(Table1[[#This Row],[Total_Cost]]&lt;60,"medium","high"))</f>
        <v>high</v>
      </c>
      <c r="Q47" t="str">
        <f>IF(Table1[[#This Row],[Discount_Applied]]=TRUE,"discount applied","no discount")</f>
        <v>no discount</v>
      </c>
    </row>
    <row r="48" spans="1:17" x14ac:dyDescent="0.3">
      <c r="A48">
        <v>1000000046</v>
      </c>
      <c r="B48" s="1">
        <v>45422.972974537035</v>
      </c>
      <c r="C48" t="s">
        <v>140</v>
      </c>
      <c r="D48" t="s">
        <v>141</v>
      </c>
      <c r="E48">
        <v>10</v>
      </c>
      <c r="F48">
        <v>44.98</v>
      </c>
      <c r="G48" t="s">
        <v>23</v>
      </c>
      <c r="H48" t="s">
        <v>96</v>
      </c>
      <c r="I48" t="s">
        <v>59</v>
      </c>
      <c r="J48" t="b">
        <v>0</v>
      </c>
      <c r="K48" t="s">
        <v>51</v>
      </c>
      <c r="L48" t="s">
        <v>27</v>
      </c>
      <c r="M48" t="s">
        <v>20</v>
      </c>
      <c r="N48">
        <f>YEAR(Table1[[#This Row],[Date]])</f>
        <v>2024</v>
      </c>
      <c r="O48" t="str">
        <f>TEXT(Table1[[#This Row],[Date]],"mmm")</f>
        <v>May</v>
      </c>
      <c r="P48" t="str">
        <f>IF(Table1[[#This Row],[Total_Cost]]&lt;25,"low",IF(Table1[[#This Row],[Total_Cost]]&lt;60,"medium","high"))</f>
        <v>medium</v>
      </c>
      <c r="Q48" t="str">
        <f>IF(Table1[[#This Row],[Discount_Applied]]=TRUE,"discount applied","no discount")</f>
        <v>no discount</v>
      </c>
    </row>
    <row r="49" spans="1:17" x14ac:dyDescent="0.3">
      <c r="A49">
        <v>1000000047</v>
      </c>
      <c r="B49" s="1">
        <v>44963.063784722224</v>
      </c>
      <c r="C49" t="s">
        <v>142</v>
      </c>
      <c r="D49" t="s">
        <v>143</v>
      </c>
      <c r="E49">
        <v>7</v>
      </c>
      <c r="F49">
        <v>76.09</v>
      </c>
      <c r="G49" t="s">
        <v>15</v>
      </c>
      <c r="H49" t="s">
        <v>16</v>
      </c>
      <c r="I49" t="s">
        <v>59</v>
      </c>
      <c r="J49" t="b">
        <v>1</v>
      </c>
      <c r="K49" t="s">
        <v>47</v>
      </c>
      <c r="L49" t="s">
        <v>52</v>
      </c>
      <c r="M49" t="s">
        <v>20</v>
      </c>
      <c r="N49">
        <f>YEAR(Table1[[#This Row],[Date]])</f>
        <v>2023</v>
      </c>
      <c r="O49" t="str">
        <f>TEXT(Table1[[#This Row],[Date]],"mmm")</f>
        <v>Feb</v>
      </c>
      <c r="P49" t="str">
        <f>IF(Table1[[#This Row],[Total_Cost]]&lt;25,"low",IF(Table1[[#This Row],[Total_Cost]]&lt;60,"medium","high"))</f>
        <v>high</v>
      </c>
      <c r="Q49" t="str">
        <f>IF(Table1[[#This Row],[Discount_Applied]]=TRUE,"discount applied","no discount")</f>
        <v>discount applied</v>
      </c>
    </row>
    <row r="50" spans="1:17" x14ac:dyDescent="0.3">
      <c r="A50">
        <v>1000000048</v>
      </c>
      <c r="B50" s="1">
        <v>45399.03429398148</v>
      </c>
      <c r="C50" t="s">
        <v>144</v>
      </c>
      <c r="D50" t="s">
        <v>145</v>
      </c>
      <c r="E50">
        <v>10</v>
      </c>
      <c r="F50">
        <v>55.69</v>
      </c>
      <c r="G50" t="s">
        <v>31</v>
      </c>
      <c r="H50" t="s">
        <v>70</v>
      </c>
      <c r="I50" t="s">
        <v>33</v>
      </c>
      <c r="J50" t="b">
        <v>1</v>
      </c>
      <c r="K50" t="s">
        <v>87</v>
      </c>
      <c r="L50" t="s">
        <v>52</v>
      </c>
      <c r="M50" t="s">
        <v>43</v>
      </c>
      <c r="N50">
        <f>YEAR(Table1[[#This Row],[Date]])</f>
        <v>2024</v>
      </c>
      <c r="O50" t="str">
        <f>TEXT(Table1[[#This Row],[Date]],"mmm")</f>
        <v>Apr</v>
      </c>
      <c r="P50" t="str">
        <f>IF(Table1[[#This Row],[Total_Cost]]&lt;25,"low",IF(Table1[[#This Row],[Total_Cost]]&lt;60,"medium","high"))</f>
        <v>medium</v>
      </c>
      <c r="Q50" t="str">
        <f>IF(Table1[[#This Row],[Discount_Applied]]=TRUE,"discount applied","no discount")</f>
        <v>discount applied</v>
      </c>
    </row>
    <row r="51" spans="1:17" x14ac:dyDescent="0.3">
      <c r="A51">
        <v>1000000049</v>
      </c>
      <c r="B51" s="1">
        <v>44371.584386574075</v>
      </c>
      <c r="C51" t="s">
        <v>146</v>
      </c>
      <c r="D51" t="s">
        <v>147</v>
      </c>
      <c r="E51">
        <v>3</v>
      </c>
      <c r="F51">
        <v>61.53</v>
      </c>
      <c r="G51" t="s">
        <v>23</v>
      </c>
      <c r="H51" t="s">
        <v>32</v>
      </c>
      <c r="I51" t="s">
        <v>17</v>
      </c>
      <c r="J51" t="b">
        <v>0</v>
      </c>
      <c r="K51" t="s">
        <v>47</v>
      </c>
      <c r="L51" t="s">
        <v>19</v>
      </c>
      <c r="M51" t="s">
        <v>43</v>
      </c>
      <c r="N51">
        <f>YEAR(Table1[[#This Row],[Date]])</f>
        <v>2021</v>
      </c>
      <c r="O51" t="str">
        <f>TEXT(Table1[[#This Row],[Date]],"mmm")</f>
        <v>Jun</v>
      </c>
      <c r="P51" t="str">
        <f>IF(Table1[[#This Row],[Total_Cost]]&lt;25,"low",IF(Table1[[#This Row],[Total_Cost]]&lt;60,"medium","high"))</f>
        <v>high</v>
      </c>
      <c r="Q51" t="str">
        <f>IF(Table1[[#This Row],[Discount_Applied]]=TRUE,"discount applied","no discount")</f>
        <v>no discount</v>
      </c>
    </row>
    <row r="52" spans="1:17" x14ac:dyDescent="0.3">
      <c r="A52">
        <v>1000000050</v>
      </c>
      <c r="B52" s="1">
        <v>44296.801770833335</v>
      </c>
      <c r="C52" t="s">
        <v>148</v>
      </c>
      <c r="D52" t="s">
        <v>149</v>
      </c>
      <c r="E52">
        <v>1</v>
      </c>
      <c r="F52">
        <v>78.459999999999994</v>
      </c>
      <c r="G52" t="s">
        <v>15</v>
      </c>
      <c r="H52" t="s">
        <v>24</v>
      </c>
      <c r="I52" t="s">
        <v>46</v>
      </c>
      <c r="J52" t="b">
        <v>0</v>
      </c>
      <c r="K52" t="s">
        <v>87</v>
      </c>
      <c r="L52" t="s">
        <v>52</v>
      </c>
      <c r="M52" t="s">
        <v>43</v>
      </c>
      <c r="N52">
        <f>YEAR(Table1[[#This Row],[Date]])</f>
        <v>2021</v>
      </c>
      <c r="O52" t="str">
        <f>TEXT(Table1[[#This Row],[Date]],"mmm")</f>
        <v>Apr</v>
      </c>
      <c r="P52" t="str">
        <f>IF(Table1[[#This Row],[Total_Cost]]&lt;25,"low",IF(Table1[[#This Row],[Total_Cost]]&lt;60,"medium","high"))</f>
        <v>high</v>
      </c>
      <c r="Q52" t="str">
        <f>IF(Table1[[#This Row],[Discount_Applied]]=TRUE,"discount applied","no discount")</f>
        <v>no discount</v>
      </c>
    </row>
    <row r="53" spans="1:17" x14ac:dyDescent="0.3">
      <c r="A53">
        <v>1000000051</v>
      </c>
      <c r="B53" s="1">
        <v>45187.379212962966</v>
      </c>
      <c r="C53" t="s">
        <v>150</v>
      </c>
      <c r="D53" t="s">
        <v>151</v>
      </c>
      <c r="E53">
        <v>9</v>
      </c>
      <c r="F53">
        <v>49.7</v>
      </c>
      <c r="G53" t="s">
        <v>15</v>
      </c>
      <c r="H53" t="s">
        <v>77</v>
      </c>
      <c r="I53" t="s">
        <v>37</v>
      </c>
      <c r="J53" t="b">
        <v>1</v>
      </c>
      <c r="K53" t="s">
        <v>47</v>
      </c>
      <c r="L53" t="s">
        <v>27</v>
      </c>
      <c r="M53" t="s">
        <v>20</v>
      </c>
      <c r="N53">
        <f>YEAR(Table1[[#This Row],[Date]])</f>
        <v>2023</v>
      </c>
      <c r="O53" t="str">
        <f>TEXT(Table1[[#This Row],[Date]],"mmm")</f>
        <v>Sep</v>
      </c>
      <c r="P53" t="str">
        <f>IF(Table1[[#This Row],[Total_Cost]]&lt;25,"low",IF(Table1[[#This Row],[Total_Cost]]&lt;60,"medium","high"))</f>
        <v>medium</v>
      </c>
      <c r="Q53" t="str">
        <f>IF(Table1[[#This Row],[Discount_Applied]]=TRUE,"discount applied","no discount")</f>
        <v>discount applied</v>
      </c>
    </row>
    <row r="54" spans="1:17" x14ac:dyDescent="0.3">
      <c r="A54">
        <v>1000000052</v>
      </c>
      <c r="B54" s="1">
        <v>43961.709803240738</v>
      </c>
      <c r="C54" t="s">
        <v>152</v>
      </c>
      <c r="D54" t="s">
        <v>153</v>
      </c>
      <c r="E54">
        <v>10</v>
      </c>
      <c r="F54">
        <v>87.04</v>
      </c>
      <c r="G54" t="s">
        <v>15</v>
      </c>
      <c r="H54" t="s">
        <v>50</v>
      </c>
      <c r="I54" t="s">
        <v>59</v>
      </c>
      <c r="J54" t="b">
        <v>0</v>
      </c>
      <c r="K54" t="s">
        <v>80</v>
      </c>
      <c r="L54" t="s">
        <v>52</v>
      </c>
      <c r="M54" t="s">
        <v>28</v>
      </c>
      <c r="N54">
        <f>YEAR(Table1[[#This Row],[Date]])</f>
        <v>2020</v>
      </c>
      <c r="O54" t="str">
        <f>TEXT(Table1[[#This Row],[Date]],"mmm")</f>
        <v>May</v>
      </c>
      <c r="P54" t="str">
        <f>IF(Table1[[#This Row],[Total_Cost]]&lt;25,"low",IF(Table1[[#This Row],[Total_Cost]]&lt;60,"medium","high"))</f>
        <v>high</v>
      </c>
      <c r="Q54" t="str">
        <f>IF(Table1[[#This Row],[Discount_Applied]]=TRUE,"discount applied","no discount")</f>
        <v>no discount</v>
      </c>
    </row>
    <row r="55" spans="1:17" x14ac:dyDescent="0.3">
      <c r="A55">
        <v>1000000053</v>
      </c>
      <c r="B55" s="1">
        <v>44195.595729166664</v>
      </c>
      <c r="C55" t="s">
        <v>154</v>
      </c>
      <c r="D55" t="s">
        <v>155</v>
      </c>
      <c r="E55">
        <v>2</v>
      </c>
      <c r="F55">
        <v>9.5500000000000007</v>
      </c>
      <c r="G55" t="s">
        <v>23</v>
      </c>
      <c r="H55" t="s">
        <v>32</v>
      </c>
      <c r="I55" t="s">
        <v>17</v>
      </c>
      <c r="J55" t="b">
        <v>0</v>
      </c>
      <c r="K55" t="s">
        <v>80</v>
      </c>
      <c r="L55" t="s">
        <v>27</v>
      </c>
      <c r="M55" t="s">
        <v>28</v>
      </c>
      <c r="N55">
        <f>YEAR(Table1[[#This Row],[Date]])</f>
        <v>2020</v>
      </c>
      <c r="O55" t="str">
        <f>TEXT(Table1[[#This Row],[Date]],"mmm")</f>
        <v>Dec</v>
      </c>
      <c r="P55" t="str">
        <f>IF(Table1[[#This Row],[Total_Cost]]&lt;25,"low",IF(Table1[[#This Row],[Total_Cost]]&lt;60,"medium","high"))</f>
        <v>low</v>
      </c>
      <c r="Q55" t="str">
        <f>IF(Table1[[#This Row],[Discount_Applied]]=TRUE,"discount applied","no discount")</f>
        <v>no discount</v>
      </c>
    </row>
    <row r="56" spans="1:17" x14ac:dyDescent="0.3">
      <c r="A56">
        <v>1000000054</v>
      </c>
      <c r="B56" s="1">
        <v>44987.830625000002</v>
      </c>
      <c r="C56" t="s">
        <v>156</v>
      </c>
      <c r="D56" t="s">
        <v>157</v>
      </c>
      <c r="E56">
        <v>8</v>
      </c>
      <c r="F56">
        <v>46.79</v>
      </c>
      <c r="G56" t="s">
        <v>41</v>
      </c>
      <c r="H56" t="s">
        <v>16</v>
      </c>
      <c r="I56" t="s">
        <v>25</v>
      </c>
      <c r="J56" t="b">
        <v>0</v>
      </c>
      <c r="K56" t="s">
        <v>47</v>
      </c>
      <c r="L56" t="s">
        <v>19</v>
      </c>
      <c r="M56" t="s">
        <v>20</v>
      </c>
      <c r="N56">
        <f>YEAR(Table1[[#This Row],[Date]])</f>
        <v>2023</v>
      </c>
      <c r="O56" t="str">
        <f>TEXT(Table1[[#This Row],[Date]],"mmm")</f>
        <v>Mar</v>
      </c>
      <c r="P56" t="str">
        <f>IF(Table1[[#This Row],[Total_Cost]]&lt;25,"low",IF(Table1[[#This Row],[Total_Cost]]&lt;60,"medium","high"))</f>
        <v>medium</v>
      </c>
      <c r="Q56" t="str">
        <f>IF(Table1[[#This Row],[Discount_Applied]]=TRUE,"discount applied","no discount")</f>
        <v>no discount</v>
      </c>
    </row>
    <row r="57" spans="1:17" x14ac:dyDescent="0.3">
      <c r="A57">
        <v>1000000055</v>
      </c>
      <c r="B57" s="1">
        <v>44735.771377314813</v>
      </c>
      <c r="C57" t="s">
        <v>158</v>
      </c>
      <c r="D57" t="s">
        <v>159</v>
      </c>
      <c r="E57">
        <v>7</v>
      </c>
      <c r="F57">
        <v>25.89</v>
      </c>
      <c r="G57" t="s">
        <v>15</v>
      </c>
      <c r="H57" t="s">
        <v>70</v>
      </c>
      <c r="I57" t="s">
        <v>25</v>
      </c>
      <c r="J57" t="b">
        <v>1</v>
      </c>
      <c r="K57" t="s">
        <v>51</v>
      </c>
      <c r="L57" t="s">
        <v>27</v>
      </c>
      <c r="M57" t="s">
        <v>43</v>
      </c>
      <c r="N57">
        <f>YEAR(Table1[[#This Row],[Date]])</f>
        <v>2022</v>
      </c>
      <c r="O57" t="str">
        <f>TEXT(Table1[[#This Row],[Date]],"mmm")</f>
        <v>Jun</v>
      </c>
      <c r="P57" t="str">
        <f>IF(Table1[[#This Row],[Total_Cost]]&lt;25,"low",IF(Table1[[#This Row],[Total_Cost]]&lt;60,"medium","high"))</f>
        <v>medium</v>
      </c>
      <c r="Q57" t="str">
        <f>IF(Table1[[#This Row],[Discount_Applied]]=TRUE,"discount applied","no discount")</f>
        <v>discount applied</v>
      </c>
    </row>
    <row r="58" spans="1:17" x14ac:dyDescent="0.3">
      <c r="A58">
        <v>1000000056</v>
      </c>
      <c r="B58" s="1">
        <v>44690.362916666665</v>
      </c>
      <c r="C58" t="s">
        <v>160</v>
      </c>
      <c r="D58" t="s">
        <v>161</v>
      </c>
      <c r="E58">
        <v>6</v>
      </c>
      <c r="F58">
        <v>5.21</v>
      </c>
      <c r="G58" t="s">
        <v>23</v>
      </c>
      <c r="H58" t="s">
        <v>96</v>
      </c>
      <c r="I58" t="s">
        <v>17</v>
      </c>
      <c r="J58" t="b">
        <v>0</v>
      </c>
      <c r="K58" t="s">
        <v>42</v>
      </c>
      <c r="L58" t="s">
        <v>19</v>
      </c>
      <c r="M58" t="s">
        <v>28</v>
      </c>
      <c r="N58">
        <f>YEAR(Table1[[#This Row],[Date]])</f>
        <v>2022</v>
      </c>
      <c r="O58" t="str">
        <f>TEXT(Table1[[#This Row],[Date]],"mmm")</f>
        <v>May</v>
      </c>
      <c r="P58" t="str">
        <f>IF(Table1[[#This Row],[Total_Cost]]&lt;25,"low",IF(Table1[[#This Row],[Total_Cost]]&lt;60,"medium","high"))</f>
        <v>low</v>
      </c>
      <c r="Q58" t="str">
        <f>IF(Table1[[#This Row],[Discount_Applied]]=TRUE,"discount applied","no discount")</f>
        <v>no discount</v>
      </c>
    </row>
    <row r="59" spans="1:17" x14ac:dyDescent="0.3">
      <c r="A59">
        <v>1000000057</v>
      </c>
      <c r="B59" s="1">
        <v>44523.32603009259</v>
      </c>
      <c r="C59" t="s">
        <v>162</v>
      </c>
      <c r="D59" t="s">
        <v>163</v>
      </c>
      <c r="E59">
        <v>3</v>
      </c>
      <c r="F59">
        <v>12.72</v>
      </c>
      <c r="G59" t="s">
        <v>23</v>
      </c>
      <c r="H59" t="s">
        <v>16</v>
      </c>
      <c r="I59" t="s">
        <v>37</v>
      </c>
      <c r="J59" t="b">
        <v>1</v>
      </c>
      <c r="K59" t="s">
        <v>18</v>
      </c>
      <c r="L59" t="s">
        <v>52</v>
      </c>
      <c r="M59" t="s">
        <v>28</v>
      </c>
      <c r="N59">
        <f>YEAR(Table1[[#This Row],[Date]])</f>
        <v>2021</v>
      </c>
      <c r="O59" t="str">
        <f>TEXT(Table1[[#This Row],[Date]],"mmm")</f>
        <v>Nov</v>
      </c>
      <c r="P59" t="str">
        <f>IF(Table1[[#This Row],[Total_Cost]]&lt;25,"low",IF(Table1[[#This Row],[Total_Cost]]&lt;60,"medium","high"))</f>
        <v>low</v>
      </c>
      <c r="Q59" t="str">
        <f>IF(Table1[[#This Row],[Discount_Applied]]=TRUE,"discount applied","no discount")</f>
        <v>discount applied</v>
      </c>
    </row>
    <row r="60" spans="1:17" x14ac:dyDescent="0.3">
      <c r="A60">
        <v>1000000058</v>
      </c>
      <c r="B60" s="1">
        <v>45302.237291666665</v>
      </c>
      <c r="C60" t="s">
        <v>164</v>
      </c>
      <c r="D60" t="s">
        <v>165</v>
      </c>
      <c r="E60">
        <v>5</v>
      </c>
      <c r="F60">
        <v>15.14</v>
      </c>
      <c r="G60" t="s">
        <v>15</v>
      </c>
      <c r="H60" t="s">
        <v>77</v>
      </c>
      <c r="I60" t="s">
        <v>37</v>
      </c>
      <c r="J60" t="b">
        <v>0</v>
      </c>
      <c r="K60" t="s">
        <v>62</v>
      </c>
      <c r="L60" t="s">
        <v>19</v>
      </c>
      <c r="M60" t="s">
        <v>43</v>
      </c>
      <c r="N60">
        <f>YEAR(Table1[[#This Row],[Date]])</f>
        <v>2024</v>
      </c>
      <c r="O60" t="str">
        <f>TEXT(Table1[[#This Row],[Date]],"mmm")</f>
        <v>Jan</v>
      </c>
      <c r="P60" t="str">
        <f>IF(Table1[[#This Row],[Total_Cost]]&lt;25,"low",IF(Table1[[#This Row],[Total_Cost]]&lt;60,"medium","high"))</f>
        <v>low</v>
      </c>
      <c r="Q60" t="str">
        <f>IF(Table1[[#This Row],[Discount_Applied]]=TRUE,"discount applied","no discount")</f>
        <v>no discount</v>
      </c>
    </row>
    <row r="61" spans="1:17" x14ac:dyDescent="0.3">
      <c r="A61">
        <v>1000000059</v>
      </c>
      <c r="B61" s="1">
        <v>44012.040937500002</v>
      </c>
      <c r="C61" t="s">
        <v>166</v>
      </c>
      <c r="D61" t="s">
        <v>167</v>
      </c>
      <c r="E61">
        <v>4</v>
      </c>
      <c r="F61">
        <v>15.68</v>
      </c>
      <c r="G61" t="s">
        <v>41</v>
      </c>
      <c r="H61" t="s">
        <v>129</v>
      </c>
      <c r="I61" t="s">
        <v>25</v>
      </c>
      <c r="J61" t="b">
        <v>1</v>
      </c>
      <c r="K61" t="s">
        <v>26</v>
      </c>
      <c r="L61" t="s">
        <v>19</v>
      </c>
      <c r="M61" t="s">
        <v>20</v>
      </c>
      <c r="N61">
        <f>YEAR(Table1[[#This Row],[Date]])</f>
        <v>2020</v>
      </c>
      <c r="O61" t="str">
        <f>TEXT(Table1[[#This Row],[Date]],"mmm")</f>
        <v>Jun</v>
      </c>
      <c r="P61" t="str">
        <f>IF(Table1[[#This Row],[Total_Cost]]&lt;25,"low",IF(Table1[[#This Row],[Total_Cost]]&lt;60,"medium","high"))</f>
        <v>low</v>
      </c>
      <c r="Q61" t="str">
        <f>IF(Table1[[#This Row],[Discount_Applied]]=TRUE,"discount applied","no discount")</f>
        <v>discount applied</v>
      </c>
    </row>
    <row r="62" spans="1:17" x14ac:dyDescent="0.3">
      <c r="A62">
        <v>1000000060</v>
      </c>
      <c r="B62" s="1">
        <v>44511.156840277778</v>
      </c>
      <c r="C62" t="s">
        <v>168</v>
      </c>
      <c r="D62" t="s">
        <v>169</v>
      </c>
      <c r="E62">
        <v>2</v>
      </c>
      <c r="F62">
        <v>92.78</v>
      </c>
      <c r="G62" t="s">
        <v>31</v>
      </c>
      <c r="H62" t="s">
        <v>70</v>
      </c>
      <c r="I62" t="s">
        <v>46</v>
      </c>
      <c r="J62" t="b">
        <v>1</v>
      </c>
      <c r="K62" t="s">
        <v>42</v>
      </c>
      <c r="L62" t="s">
        <v>27</v>
      </c>
      <c r="M62" t="s">
        <v>20</v>
      </c>
      <c r="N62">
        <f>YEAR(Table1[[#This Row],[Date]])</f>
        <v>2021</v>
      </c>
      <c r="O62" t="str">
        <f>TEXT(Table1[[#This Row],[Date]],"mmm")</f>
        <v>Nov</v>
      </c>
      <c r="P62" t="str">
        <f>IF(Table1[[#This Row],[Total_Cost]]&lt;25,"low",IF(Table1[[#This Row],[Total_Cost]]&lt;60,"medium","high"))</f>
        <v>high</v>
      </c>
      <c r="Q62" t="str">
        <f>IF(Table1[[#This Row],[Discount_Applied]]=TRUE,"discount applied","no discount")</f>
        <v>discount applied</v>
      </c>
    </row>
    <row r="63" spans="1:17" x14ac:dyDescent="0.3">
      <c r="A63">
        <v>1000000061</v>
      </c>
      <c r="B63" s="1">
        <v>44497.868877314817</v>
      </c>
      <c r="C63" t="s">
        <v>170</v>
      </c>
      <c r="D63" t="s">
        <v>171</v>
      </c>
      <c r="E63">
        <v>10</v>
      </c>
      <c r="F63">
        <v>35.950000000000003</v>
      </c>
      <c r="G63" t="s">
        <v>31</v>
      </c>
      <c r="H63" t="s">
        <v>50</v>
      </c>
      <c r="I63" t="s">
        <v>33</v>
      </c>
      <c r="J63" t="b">
        <v>1</v>
      </c>
      <c r="K63" t="s">
        <v>80</v>
      </c>
      <c r="L63" t="s">
        <v>19</v>
      </c>
      <c r="M63" t="s">
        <v>28</v>
      </c>
      <c r="N63">
        <f>YEAR(Table1[[#This Row],[Date]])</f>
        <v>2021</v>
      </c>
      <c r="O63" t="str">
        <f>TEXT(Table1[[#This Row],[Date]],"mmm")</f>
        <v>Oct</v>
      </c>
      <c r="P63" t="str">
        <f>IF(Table1[[#This Row],[Total_Cost]]&lt;25,"low",IF(Table1[[#This Row],[Total_Cost]]&lt;60,"medium","high"))</f>
        <v>medium</v>
      </c>
      <c r="Q63" t="str">
        <f>IF(Table1[[#This Row],[Discount_Applied]]=TRUE,"discount applied","no discount")</f>
        <v>discount applied</v>
      </c>
    </row>
    <row r="64" spans="1:17" x14ac:dyDescent="0.3">
      <c r="A64">
        <v>1000000062</v>
      </c>
      <c r="B64" s="1">
        <v>44370.282407407409</v>
      </c>
      <c r="C64" t="s">
        <v>172</v>
      </c>
      <c r="D64" t="s">
        <v>173</v>
      </c>
      <c r="E64">
        <v>5</v>
      </c>
      <c r="F64">
        <v>88.59</v>
      </c>
      <c r="G64" t="s">
        <v>23</v>
      </c>
      <c r="H64" t="s">
        <v>36</v>
      </c>
      <c r="I64" t="s">
        <v>25</v>
      </c>
      <c r="J64" t="b">
        <v>0</v>
      </c>
      <c r="K64" t="s">
        <v>26</v>
      </c>
      <c r="L64" t="s">
        <v>19</v>
      </c>
      <c r="M64" t="s">
        <v>28</v>
      </c>
      <c r="N64">
        <f>YEAR(Table1[[#This Row],[Date]])</f>
        <v>2021</v>
      </c>
      <c r="O64" t="str">
        <f>TEXT(Table1[[#This Row],[Date]],"mmm")</f>
        <v>Jun</v>
      </c>
      <c r="P64" t="str">
        <f>IF(Table1[[#This Row],[Total_Cost]]&lt;25,"low",IF(Table1[[#This Row],[Total_Cost]]&lt;60,"medium","high"))</f>
        <v>high</v>
      </c>
      <c r="Q64" t="str">
        <f>IF(Table1[[#This Row],[Discount_Applied]]=TRUE,"discount applied","no discount")</f>
        <v>no discount</v>
      </c>
    </row>
    <row r="65" spans="1:17" x14ac:dyDescent="0.3">
      <c r="A65">
        <v>1000000063</v>
      </c>
      <c r="B65" s="1">
        <v>45162.222685185188</v>
      </c>
      <c r="C65" t="s">
        <v>174</v>
      </c>
      <c r="D65" t="s">
        <v>175</v>
      </c>
      <c r="E65">
        <v>6</v>
      </c>
      <c r="F65">
        <v>66.87</v>
      </c>
      <c r="G65" t="s">
        <v>15</v>
      </c>
      <c r="H65" t="s">
        <v>32</v>
      </c>
      <c r="I65" t="s">
        <v>33</v>
      </c>
      <c r="J65" t="b">
        <v>1</v>
      </c>
      <c r="K65" t="s">
        <v>26</v>
      </c>
      <c r="L65" t="s">
        <v>52</v>
      </c>
      <c r="M65" t="s">
        <v>28</v>
      </c>
      <c r="N65">
        <f>YEAR(Table1[[#This Row],[Date]])</f>
        <v>2023</v>
      </c>
      <c r="O65" t="str">
        <f>TEXT(Table1[[#This Row],[Date]],"mmm")</f>
        <v>Aug</v>
      </c>
      <c r="P65" t="str">
        <f>IF(Table1[[#This Row],[Total_Cost]]&lt;25,"low",IF(Table1[[#This Row],[Total_Cost]]&lt;60,"medium","high"))</f>
        <v>high</v>
      </c>
      <c r="Q65" t="str">
        <f>IF(Table1[[#This Row],[Discount_Applied]]=TRUE,"discount applied","no discount")</f>
        <v>discount applied</v>
      </c>
    </row>
    <row r="66" spans="1:17" x14ac:dyDescent="0.3">
      <c r="A66">
        <v>1000000064</v>
      </c>
      <c r="B66" s="1">
        <v>44375.278854166667</v>
      </c>
      <c r="C66" t="s">
        <v>176</v>
      </c>
      <c r="D66" t="s">
        <v>177</v>
      </c>
      <c r="E66">
        <v>3</v>
      </c>
      <c r="F66">
        <v>37.35</v>
      </c>
      <c r="G66" t="s">
        <v>23</v>
      </c>
      <c r="H66" t="s">
        <v>24</v>
      </c>
      <c r="I66" t="s">
        <v>33</v>
      </c>
      <c r="J66" t="b">
        <v>1</v>
      </c>
      <c r="K66" t="s">
        <v>42</v>
      </c>
      <c r="L66" t="s">
        <v>19</v>
      </c>
      <c r="M66" t="s">
        <v>43</v>
      </c>
      <c r="N66">
        <f>YEAR(Table1[[#This Row],[Date]])</f>
        <v>2021</v>
      </c>
      <c r="O66" t="str">
        <f>TEXT(Table1[[#This Row],[Date]],"mmm")</f>
        <v>Jun</v>
      </c>
      <c r="P66" t="str">
        <f>IF(Table1[[#This Row],[Total_Cost]]&lt;25,"low",IF(Table1[[#This Row],[Total_Cost]]&lt;60,"medium","high"))</f>
        <v>medium</v>
      </c>
      <c r="Q66" t="str">
        <f>IF(Table1[[#This Row],[Discount_Applied]]=TRUE,"discount applied","no discount")</f>
        <v>discount applied</v>
      </c>
    </row>
    <row r="67" spans="1:17" x14ac:dyDescent="0.3">
      <c r="A67">
        <v>1000000065</v>
      </c>
      <c r="B67" s="1">
        <v>45152.555185185185</v>
      </c>
      <c r="C67" t="s">
        <v>178</v>
      </c>
      <c r="D67" t="s">
        <v>179</v>
      </c>
      <c r="E67">
        <v>6</v>
      </c>
      <c r="F67">
        <v>60.37</v>
      </c>
      <c r="G67" t="s">
        <v>41</v>
      </c>
      <c r="H67" t="s">
        <v>65</v>
      </c>
      <c r="I67" t="s">
        <v>33</v>
      </c>
      <c r="J67" t="b">
        <v>0</v>
      </c>
      <c r="K67" t="s">
        <v>42</v>
      </c>
      <c r="L67" t="s">
        <v>38</v>
      </c>
      <c r="M67" t="s">
        <v>28</v>
      </c>
      <c r="N67">
        <f>YEAR(Table1[[#This Row],[Date]])</f>
        <v>2023</v>
      </c>
      <c r="O67" t="str">
        <f>TEXT(Table1[[#This Row],[Date]],"mmm")</f>
        <v>Aug</v>
      </c>
      <c r="P67" t="str">
        <f>IF(Table1[[#This Row],[Total_Cost]]&lt;25,"low",IF(Table1[[#This Row],[Total_Cost]]&lt;60,"medium","high"))</f>
        <v>high</v>
      </c>
      <c r="Q67" t="str">
        <f>IF(Table1[[#This Row],[Discount_Applied]]=TRUE,"discount applied","no discount")</f>
        <v>no discount</v>
      </c>
    </row>
    <row r="68" spans="1:17" x14ac:dyDescent="0.3">
      <c r="A68">
        <v>1000000066</v>
      </c>
      <c r="B68" s="1">
        <v>44659.367719907408</v>
      </c>
      <c r="C68" t="s">
        <v>180</v>
      </c>
      <c r="D68" t="s">
        <v>181</v>
      </c>
      <c r="E68">
        <v>8</v>
      </c>
      <c r="F68">
        <v>51.42</v>
      </c>
      <c r="G68" t="s">
        <v>31</v>
      </c>
      <c r="H68" t="s">
        <v>77</v>
      </c>
      <c r="I68" t="s">
        <v>33</v>
      </c>
      <c r="J68" t="b">
        <v>1</v>
      </c>
      <c r="K68" t="s">
        <v>18</v>
      </c>
      <c r="L68" t="s">
        <v>19</v>
      </c>
      <c r="M68" t="s">
        <v>20</v>
      </c>
      <c r="N68">
        <f>YEAR(Table1[[#This Row],[Date]])</f>
        <v>2022</v>
      </c>
      <c r="O68" t="str">
        <f>TEXT(Table1[[#This Row],[Date]],"mmm")</f>
        <v>Apr</v>
      </c>
      <c r="P68" t="str">
        <f>IF(Table1[[#This Row],[Total_Cost]]&lt;25,"low",IF(Table1[[#This Row],[Total_Cost]]&lt;60,"medium","high"))</f>
        <v>medium</v>
      </c>
      <c r="Q68" t="str">
        <f>IF(Table1[[#This Row],[Discount_Applied]]=TRUE,"discount applied","no discount")</f>
        <v>discount applied</v>
      </c>
    </row>
    <row r="69" spans="1:17" x14ac:dyDescent="0.3">
      <c r="A69">
        <v>1000000067</v>
      </c>
      <c r="B69" s="1">
        <v>43925.081435185188</v>
      </c>
      <c r="C69" t="s">
        <v>182</v>
      </c>
      <c r="D69" t="s">
        <v>183</v>
      </c>
      <c r="E69">
        <v>1</v>
      </c>
      <c r="F69">
        <v>54.04</v>
      </c>
      <c r="G69" t="s">
        <v>15</v>
      </c>
      <c r="H69" t="s">
        <v>77</v>
      </c>
      <c r="I69" t="s">
        <v>25</v>
      </c>
      <c r="J69" t="b">
        <v>1</v>
      </c>
      <c r="K69" t="s">
        <v>47</v>
      </c>
      <c r="L69" t="s">
        <v>38</v>
      </c>
      <c r="M69" t="s">
        <v>20</v>
      </c>
      <c r="N69">
        <f>YEAR(Table1[[#This Row],[Date]])</f>
        <v>2020</v>
      </c>
      <c r="O69" t="str">
        <f>TEXT(Table1[[#This Row],[Date]],"mmm")</f>
        <v>Apr</v>
      </c>
      <c r="P69" t="str">
        <f>IF(Table1[[#This Row],[Total_Cost]]&lt;25,"low",IF(Table1[[#This Row],[Total_Cost]]&lt;60,"medium","high"))</f>
        <v>medium</v>
      </c>
      <c r="Q69" t="str">
        <f>IF(Table1[[#This Row],[Discount_Applied]]=TRUE,"discount applied","no discount")</f>
        <v>discount applied</v>
      </c>
    </row>
    <row r="70" spans="1:17" x14ac:dyDescent="0.3">
      <c r="A70">
        <v>1000000068</v>
      </c>
      <c r="B70" s="1">
        <v>44499.886666666665</v>
      </c>
      <c r="C70" t="s">
        <v>184</v>
      </c>
      <c r="D70" t="s">
        <v>185</v>
      </c>
      <c r="E70">
        <v>3</v>
      </c>
      <c r="F70">
        <v>67.430000000000007</v>
      </c>
      <c r="G70" t="s">
        <v>23</v>
      </c>
      <c r="H70" t="s">
        <v>96</v>
      </c>
      <c r="I70" t="s">
        <v>33</v>
      </c>
      <c r="J70" t="b">
        <v>1</v>
      </c>
      <c r="K70" t="s">
        <v>87</v>
      </c>
      <c r="L70" t="s">
        <v>27</v>
      </c>
      <c r="M70" t="s">
        <v>20</v>
      </c>
      <c r="N70">
        <f>YEAR(Table1[[#This Row],[Date]])</f>
        <v>2021</v>
      </c>
      <c r="O70" t="str">
        <f>TEXT(Table1[[#This Row],[Date]],"mmm")</f>
        <v>Oct</v>
      </c>
      <c r="P70" t="str">
        <f>IF(Table1[[#This Row],[Total_Cost]]&lt;25,"low",IF(Table1[[#This Row],[Total_Cost]]&lt;60,"medium","high"))</f>
        <v>high</v>
      </c>
      <c r="Q70" t="str">
        <f>IF(Table1[[#This Row],[Discount_Applied]]=TRUE,"discount applied","no discount")</f>
        <v>discount applied</v>
      </c>
    </row>
    <row r="71" spans="1:17" x14ac:dyDescent="0.3">
      <c r="A71">
        <v>1000000069</v>
      </c>
      <c r="B71" s="1">
        <v>44792.309942129628</v>
      </c>
      <c r="C71" t="s">
        <v>186</v>
      </c>
      <c r="D71" t="s">
        <v>187</v>
      </c>
      <c r="E71">
        <v>8</v>
      </c>
      <c r="F71">
        <v>48.83</v>
      </c>
      <c r="G71" t="s">
        <v>23</v>
      </c>
      <c r="H71" t="s">
        <v>70</v>
      </c>
      <c r="I71" t="s">
        <v>17</v>
      </c>
      <c r="J71" t="b">
        <v>0</v>
      </c>
      <c r="K71" t="s">
        <v>47</v>
      </c>
      <c r="L71" t="s">
        <v>52</v>
      </c>
      <c r="M71" t="s">
        <v>28</v>
      </c>
      <c r="N71">
        <f>YEAR(Table1[[#This Row],[Date]])</f>
        <v>2022</v>
      </c>
      <c r="O71" t="str">
        <f>TEXT(Table1[[#This Row],[Date]],"mmm")</f>
        <v>Aug</v>
      </c>
      <c r="P71" t="str">
        <f>IF(Table1[[#This Row],[Total_Cost]]&lt;25,"low",IF(Table1[[#This Row],[Total_Cost]]&lt;60,"medium","high"))</f>
        <v>medium</v>
      </c>
      <c r="Q71" t="str">
        <f>IF(Table1[[#This Row],[Discount_Applied]]=TRUE,"discount applied","no discount")</f>
        <v>no discount</v>
      </c>
    </row>
    <row r="72" spans="1:17" x14ac:dyDescent="0.3">
      <c r="A72">
        <v>1000000070</v>
      </c>
      <c r="B72" s="1">
        <v>44095.388043981482</v>
      </c>
      <c r="C72" t="s">
        <v>188</v>
      </c>
      <c r="D72" t="s">
        <v>189</v>
      </c>
      <c r="E72">
        <v>8</v>
      </c>
      <c r="F72">
        <v>19.399999999999999</v>
      </c>
      <c r="G72" t="s">
        <v>31</v>
      </c>
      <c r="H72" t="s">
        <v>129</v>
      </c>
      <c r="I72" t="s">
        <v>37</v>
      </c>
      <c r="J72" t="b">
        <v>0</v>
      </c>
      <c r="K72" t="s">
        <v>80</v>
      </c>
      <c r="L72" t="s">
        <v>27</v>
      </c>
      <c r="M72" t="s">
        <v>43</v>
      </c>
      <c r="N72">
        <f>YEAR(Table1[[#This Row],[Date]])</f>
        <v>2020</v>
      </c>
      <c r="O72" t="str">
        <f>TEXT(Table1[[#This Row],[Date]],"mmm")</f>
        <v>Sep</v>
      </c>
      <c r="P72" t="str">
        <f>IF(Table1[[#This Row],[Total_Cost]]&lt;25,"low",IF(Table1[[#This Row],[Total_Cost]]&lt;60,"medium","high"))</f>
        <v>low</v>
      </c>
      <c r="Q72" t="str">
        <f>IF(Table1[[#This Row],[Discount_Applied]]=TRUE,"discount applied","no discount")</f>
        <v>no discount</v>
      </c>
    </row>
    <row r="73" spans="1:17" x14ac:dyDescent="0.3">
      <c r="A73">
        <v>1000000071</v>
      </c>
      <c r="B73" s="1">
        <v>43962.502303240741</v>
      </c>
      <c r="C73" t="s">
        <v>190</v>
      </c>
      <c r="D73" t="s">
        <v>191</v>
      </c>
      <c r="E73">
        <v>1</v>
      </c>
      <c r="F73">
        <v>12.73</v>
      </c>
      <c r="G73" t="s">
        <v>15</v>
      </c>
      <c r="H73" t="s">
        <v>32</v>
      </c>
      <c r="I73" t="s">
        <v>37</v>
      </c>
      <c r="J73" t="b">
        <v>0</v>
      </c>
      <c r="K73" t="s">
        <v>47</v>
      </c>
      <c r="L73" t="s">
        <v>38</v>
      </c>
      <c r="M73" t="s">
        <v>43</v>
      </c>
      <c r="N73">
        <f>YEAR(Table1[[#This Row],[Date]])</f>
        <v>2020</v>
      </c>
      <c r="O73" t="str">
        <f>TEXT(Table1[[#This Row],[Date]],"mmm")</f>
        <v>May</v>
      </c>
      <c r="P73" t="str">
        <f>IF(Table1[[#This Row],[Total_Cost]]&lt;25,"low",IF(Table1[[#This Row],[Total_Cost]]&lt;60,"medium","high"))</f>
        <v>low</v>
      </c>
      <c r="Q73" t="str">
        <f>IF(Table1[[#This Row],[Discount_Applied]]=TRUE,"discount applied","no discount")</f>
        <v>no discount</v>
      </c>
    </row>
    <row r="74" spans="1:17" x14ac:dyDescent="0.3">
      <c r="A74">
        <v>1000000072</v>
      </c>
      <c r="B74" s="1">
        <v>44861.13548611111</v>
      </c>
      <c r="C74" t="s">
        <v>192</v>
      </c>
      <c r="D74" t="s">
        <v>193</v>
      </c>
      <c r="E74">
        <v>5</v>
      </c>
      <c r="F74">
        <v>77.41</v>
      </c>
      <c r="G74" t="s">
        <v>15</v>
      </c>
      <c r="H74" t="s">
        <v>16</v>
      </c>
      <c r="I74" t="s">
        <v>25</v>
      </c>
      <c r="J74" t="b">
        <v>0</v>
      </c>
      <c r="K74" t="s">
        <v>51</v>
      </c>
      <c r="L74" t="s">
        <v>38</v>
      </c>
      <c r="M74" t="s">
        <v>20</v>
      </c>
      <c r="N74">
        <f>YEAR(Table1[[#This Row],[Date]])</f>
        <v>2022</v>
      </c>
      <c r="O74" t="str">
        <f>TEXT(Table1[[#This Row],[Date]],"mmm")</f>
        <v>Oct</v>
      </c>
      <c r="P74" t="str">
        <f>IF(Table1[[#This Row],[Total_Cost]]&lt;25,"low",IF(Table1[[#This Row],[Total_Cost]]&lt;60,"medium","high"))</f>
        <v>high</v>
      </c>
      <c r="Q74" t="str">
        <f>IF(Table1[[#This Row],[Discount_Applied]]=TRUE,"discount applied","no discount")</f>
        <v>no discount</v>
      </c>
    </row>
    <row r="75" spans="1:17" x14ac:dyDescent="0.3">
      <c r="A75">
        <v>1000000073</v>
      </c>
      <c r="B75" s="1">
        <v>44360.600775462961</v>
      </c>
      <c r="C75" t="s">
        <v>194</v>
      </c>
      <c r="D75" t="s">
        <v>195</v>
      </c>
      <c r="E75">
        <v>4</v>
      </c>
      <c r="F75">
        <v>78.52</v>
      </c>
      <c r="G75" t="s">
        <v>31</v>
      </c>
      <c r="H75" t="s">
        <v>77</v>
      </c>
      <c r="I75" t="s">
        <v>46</v>
      </c>
      <c r="J75" t="b">
        <v>1</v>
      </c>
      <c r="K75" t="s">
        <v>18</v>
      </c>
      <c r="L75" t="s">
        <v>52</v>
      </c>
      <c r="M75" t="s">
        <v>20</v>
      </c>
      <c r="N75">
        <f>YEAR(Table1[[#This Row],[Date]])</f>
        <v>2021</v>
      </c>
      <c r="O75" t="str">
        <f>TEXT(Table1[[#This Row],[Date]],"mmm")</f>
        <v>Jun</v>
      </c>
      <c r="P75" t="str">
        <f>IF(Table1[[#This Row],[Total_Cost]]&lt;25,"low",IF(Table1[[#This Row],[Total_Cost]]&lt;60,"medium","high"))</f>
        <v>high</v>
      </c>
      <c r="Q75" t="str">
        <f>IF(Table1[[#This Row],[Discount_Applied]]=TRUE,"discount applied","no discount")</f>
        <v>discount applied</v>
      </c>
    </row>
    <row r="76" spans="1:17" x14ac:dyDescent="0.3">
      <c r="A76">
        <v>1000000074</v>
      </c>
      <c r="B76" s="1">
        <v>43906.576863425929</v>
      </c>
      <c r="C76" t="s">
        <v>196</v>
      </c>
      <c r="D76" t="s">
        <v>197</v>
      </c>
      <c r="E76">
        <v>2</v>
      </c>
      <c r="F76">
        <v>16.899999999999999</v>
      </c>
      <c r="G76" t="s">
        <v>15</v>
      </c>
      <c r="H76" t="s">
        <v>96</v>
      </c>
      <c r="I76" t="s">
        <v>46</v>
      </c>
      <c r="J76" t="b">
        <v>1</v>
      </c>
      <c r="K76" t="s">
        <v>62</v>
      </c>
      <c r="L76" t="s">
        <v>38</v>
      </c>
      <c r="M76" t="s">
        <v>43</v>
      </c>
      <c r="N76">
        <f>YEAR(Table1[[#This Row],[Date]])</f>
        <v>2020</v>
      </c>
      <c r="O76" t="str">
        <f>TEXT(Table1[[#This Row],[Date]],"mmm")</f>
        <v>Mar</v>
      </c>
      <c r="P76" t="str">
        <f>IF(Table1[[#This Row],[Total_Cost]]&lt;25,"low",IF(Table1[[#This Row],[Total_Cost]]&lt;60,"medium","high"))</f>
        <v>low</v>
      </c>
      <c r="Q76" t="str">
        <f>IF(Table1[[#This Row],[Discount_Applied]]=TRUE,"discount applied","no discount")</f>
        <v>discount applied</v>
      </c>
    </row>
    <row r="77" spans="1:17" x14ac:dyDescent="0.3">
      <c r="A77">
        <v>1000000075</v>
      </c>
      <c r="B77" s="1">
        <v>45074.822106481479</v>
      </c>
      <c r="C77" t="s">
        <v>198</v>
      </c>
      <c r="D77" t="s">
        <v>199</v>
      </c>
      <c r="E77">
        <v>1</v>
      </c>
      <c r="F77">
        <v>40.11</v>
      </c>
      <c r="G77" t="s">
        <v>41</v>
      </c>
      <c r="H77" t="s">
        <v>70</v>
      </c>
      <c r="I77" t="s">
        <v>59</v>
      </c>
      <c r="J77" t="b">
        <v>0</v>
      </c>
      <c r="K77" t="s">
        <v>87</v>
      </c>
      <c r="L77" t="s">
        <v>52</v>
      </c>
      <c r="M77" t="s">
        <v>43</v>
      </c>
      <c r="N77">
        <f>YEAR(Table1[[#This Row],[Date]])</f>
        <v>2023</v>
      </c>
      <c r="O77" t="str">
        <f>TEXT(Table1[[#This Row],[Date]],"mmm")</f>
        <v>May</v>
      </c>
      <c r="P77" t="str">
        <f>IF(Table1[[#This Row],[Total_Cost]]&lt;25,"low",IF(Table1[[#This Row],[Total_Cost]]&lt;60,"medium","high"))</f>
        <v>medium</v>
      </c>
      <c r="Q77" t="str">
        <f>IF(Table1[[#This Row],[Discount_Applied]]=TRUE,"discount applied","no discount")</f>
        <v>no discount</v>
      </c>
    </row>
    <row r="78" spans="1:17" x14ac:dyDescent="0.3">
      <c r="A78">
        <v>1000000076</v>
      </c>
      <c r="B78" s="1">
        <v>45393.938402777778</v>
      </c>
      <c r="C78" t="s">
        <v>200</v>
      </c>
      <c r="D78" t="s">
        <v>159</v>
      </c>
      <c r="E78">
        <v>6</v>
      </c>
      <c r="F78">
        <v>57.04</v>
      </c>
      <c r="G78" t="s">
        <v>23</v>
      </c>
      <c r="H78" t="s">
        <v>129</v>
      </c>
      <c r="I78" t="s">
        <v>17</v>
      </c>
      <c r="J78" t="b">
        <v>0</v>
      </c>
      <c r="K78" t="s">
        <v>18</v>
      </c>
      <c r="L78" t="s">
        <v>19</v>
      </c>
      <c r="M78" t="s">
        <v>28</v>
      </c>
      <c r="N78">
        <f>YEAR(Table1[[#This Row],[Date]])</f>
        <v>2024</v>
      </c>
      <c r="O78" t="str">
        <f>TEXT(Table1[[#This Row],[Date]],"mmm")</f>
        <v>Apr</v>
      </c>
      <c r="P78" t="str">
        <f>IF(Table1[[#This Row],[Total_Cost]]&lt;25,"low",IF(Table1[[#This Row],[Total_Cost]]&lt;60,"medium","high"))</f>
        <v>medium</v>
      </c>
      <c r="Q78" t="str">
        <f>IF(Table1[[#This Row],[Discount_Applied]]=TRUE,"discount applied","no discount")</f>
        <v>no discount</v>
      </c>
    </row>
    <row r="79" spans="1:17" x14ac:dyDescent="0.3">
      <c r="A79">
        <v>1000000077</v>
      </c>
      <c r="B79" s="1">
        <v>45369.118414351855</v>
      </c>
      <c r="C79" t="s">
        <v>201</v>
      </c>
      <c r="D79" t="s">
        <v>202</v>
      </c>
      <c r="E79">
        <v>6</v>
      </c>
      <c r="F79">
        <v>68.290000000000006</v>
      </c>
      <c r="G79" t="s">
        <v>15</v>
      </c>
      <c r="H79" t="s">
        <v>16</v>
      </c>
      <c r="I79" t="s">
        <v>25</v>
      </c>
      <c r="J79" t="b">
        <v>0</v>
      </c>
      <c r="K79" t="s">
        <v>42</v>
      </c>
      <c r="L79" t="s">
        <v>27</v>
      </c>
      <c r="M79" t="s">
        <v>28</v>
      </c>
      <c r="N79">
        <f>YEAR(Table1[[#This Row],[Date]])</f>
        <v>2024</v>
      </c>
      <c r="O79" t="str">
        <f>TEXT(Table1[[#This Row],[Date]],"mmm")</f>
        <v>Mar</v>
      </c>
      <c r="P79" t="str">
        <f>IF(Table1[[#This Row],[Total_Cost]]&lt;25,"low",IF(Table1[[#This Row],[Total_Cost]]&lt;60,"medium","high"))</f>
        <v>high</v>
      </c>
      <c r="Q79" t="str">
        <f>IF(Table1[[#This Row],[Discount_Applied]]=TRUE,"discount applied","no discount")</f>
        <v>no discount</v>
      </c>
    </row>
    <row r="80" spans="1:17" x14ac:dyDescent="0.3">
      <c r="A80">
        <v>1000000078</v>
      </c>
      <c r="B80" s="1">
        <v>44202.491990740738</v>
      </c>
      <c r="C80" t="s">
        <v>203</v>
      </c>
      <c r="D80" t="s">
        <v>204</v>
      </c>
      <c r="E80">
        <v>4</v>
      </c>
      <c r="F80">
        <v>41.24</v>
      </c>
      <c r="G80" t="s">
        <v>41</v>
      </c>
      <c r="H80" t="s">
        <v>96</v>
      </c>
      <c r="I80" t="s">
        <v>46</v>
      </c>
      <c r="J80" t="b">
        <v>0</v>
      </c>
      <c r="K80" t="s">
        <v>18</v>
      </c>
      <c r="L80" t="s">
        <v>27</v>
      </c>
      <c r="M80" t="s">
        <v>20</v>
      </c>
      <c r="N80">
        <f>YEAR(Table1[[#This Row],[Date]])</f>
        <v>2021</v>
      </c>
      <c r="O80" t="str">
        <f>TEXT(Table1[[#This Row],[Date]],"mmm")</f>
        <v>Jan</v>
      </c>
      <c r="P80" t="str">
        <f>IF(Table1[[#This Row],[Total_Cost]]&lt;25,"low",IF(Table1[[#This Row],[Total_Cost]]&lt;60,"medium","high"))</f>
        <v>medium</v>
      </c>
      <c r="Q80" t="str">
        <f>IF(Table1[[#This Row],[Discount_Applied]]=TRUE,"discount applied","no discount")</f>
        <v>no discount</v>
      </c>
    </row>
    <row r="81" spans="1:17" x14ac:dyDescent="0.3">
      <c r="A81">
        <v>1000000079</v>
      </c>
      <c r="B81" s="1">
        <v>45315.701550925929</v>
      </c>
      <c r="C81" t="s">
        <v>205</v>
      </c>
      <c r="D81" t="s">
        <v>206</v>
      </c>
      <c r="E81">
        <v>4</v>
      </c>
      <c r="F81">
        <v>72.11</v>
      </c>
      <c r="G81" t="s">
        <v>23</v>
      </c>
      <c r="H81" t="s">
        <v>16</v>
      </c>
      <c r="I81" t="s">
        <v>33</v>
      </c>
      <c r="J81" t="b">
        <v>1</v>
      </c>
      <c r="K81" t="s">
        <v>26</v>
      </c>
      <c r="L81" t="s">
        <v>19</v>
      </c>
      <c r="M81" t="s">
        <v>28</v>
      </c>
      <c r="N81">
        <f>YEAR(Table1[[#This Row],[Date]])</f>
        <v>2024</v>
      </c>
      <c r="O81" t="str">
        <f>TEXT(Table1[[#This Row],[Date]],"mmm")</f>
        <v>Jan</v>
      </c>
      <c r="P81" t="str">
        <f>IF(Table1[[#This Row],[Total_Cost]]&lt;25,"low",IF(Table1[[#This Row],[Total_Cost]]&lt;60,"medium","high"))</f>
        <v>high</v>
      </c>
      <c r="Q81" t="str">
        <f>IF(Table1[[#This Row],[Discount_Applied]]=TRUE,"discount applied","no discount")</f>
        <v>discount applied</v>
      </c>
    </row>
    <row r="82" spans="1:17" x14ac:dyDescent="0.3">
      <c r="A82">
        <v>1000000080</v>
      </c>
      <c r="B82" s="1">
        <v>43967.975266203706</v>
      </c>
      <c r="C82" t="s">
        <v>207</v>
      </c>
      <c r="D82" t="s">
        <v>208</v>
      </c>
      <c r="E82">
        <v>1</v>
      </c>
      <c r="F82">
        <v>65.959999999999994</v>
      </c>
      <c r="G82" t="s">
        <v>15</v>
      </c>
      <c r="H82" t="s">
        <v>77</v>
      </c>
      <c r="I82" t="s">
        <v>59</v>
      </c>
      <c r="J82" t="b">
        <v>1</v>
      </c>
      <c r="K82" t="s">
        <v>87</v>
      </c>
      <c r="L82" t="s">
        <v>52</v>
      </c>
      <c r="M82" t="s">
        <v>43</v>
      </c>
      <c r="N82">
        <f>YEAR(Table1[[#This Row],[Date]])</f>
        <v>2020</v>
      </c>
      <c r="O82" t="str">
        <f>TEXT(Table1[[#This Row],[Date]],"mmm")</f>
        <v>May</v>
      </c>
      <c r="P82" t="str">
        <f>IF(Table1[[#This Row],[Total_Cost]]&lt;25,"low",IF(Table1[[#This Row],[Total_Cost]]&lt;60,"medium","high"))</f>
        <v>high</v>
      </c>
      <c r="Q82" t="str">
        <f>IF(Table1[[#This Row],[Discount_Applied]]=TRUE,"discount applied","no discount")</f>
        <v>discount applied</v>
      </c>
    </row>
    <row r="83" spans="1:17" x14ac:dyDescent="0.3">
      <c r="A83">
        <v>1000000081</v>
      </c>
      <c r="B83" s="1">
        <v>44691.996817129628</v>
      </c>
      <c r="C83" t="s">
        <v>209</v>
      </c>
      <c r="D83" t="s">
        <v>210</v>
      </c>
      <c r="E83">
        <v>4</v>
      </c>
      <c r="F83">
        <v>80.75</v>
      </c>
      <c r="G83" t="s">
        <v>31</v>
      </c>
      <c r="H83" t="s">
        <v>65</v>
      </c>
      <c r="I83" t="s">
        <v>17</v>
      </c>
      <c r="J83" t="b">
        <v>1</v>
      </c>
      <c r="K83" t="s">
        <v>18</v>
      </c>
      <c r="L83" t="s">
        <v>19</v>
      </c>
      <c r="M83" t="s">
        <v>43</v>
      </c>
      <c r="N83">
        <f>YEAR(Table1[[#This Row],[Date]])</f>
        <v>2022</v>
      </c>
      <c r="O83" t="str">
        <f>TEXT(Table1[[#This Row],[Date]],"mmm")</f>
        <v>May</v>
      </c>
      <c r="P83" t="str">
        <f>IF(Table1[[#This Row],[Total_Cost]]&lt;25,"low",IF(Table1[[#This Row],[Total_Cost]]&lt;60,"medium","high"))</f>
        <v>high</v>
      </c>
      <c r="Q83" t="str">
        <f>IF(Table1[[#This Row],[Discount_Applied]]=TRUE,"discount applied","no discount")</f>
        <v>discount applied</v>
      </c>
    </row>
    <row r="84" spans="1:17" x14ac:dyDescent="0.3">
      <c r="A84">
        <v>1000000082</v>
      </c>
      <c r="B84" s="1">
        <v>44451.553900462961</v>
      </c>
      <c r="C84" t="s">
        <v>211</v>
      </c>
      <c r="D84" t="s">
        <v>212</v>
      </c>
      <c r="E84">
        <v>9</v>
      </c>
      <c r="F84">
        <v>68.09</v>
      </c>
      <c r="G84" t="s">
        <v>41</v>
      </c>
      <c r="H84" t="s">
        <v>65</v>
      </c>
      <c r="I84" t="s">
        <v>25</v>
      </c>
      <c r="J84" t="b">
        <v>1</v>
      </c>
      <c r="K84" t="s">
        <v>47</v>
      </c>
      <c r="L84" t="s">
        <v>19</v>
      </c>
      <c r="M84" t="s">
        <v>28</v>
      </c>
      <c r="N84">
        <f>YEAR(Table1[[#This Row],[Date]])</f>
        <v>2021</v>
      </c>
      <c r="O84" t="str">
        <f>TEXT(Table1[[#This Row],[Date]],"mmm")</f>
        <v>Sep</v>
      </c>
      <c r="P84" t="str">
        <f>IF(Table1[[#This Row],[Total_Cost]]&lt;25,"low",IF(Table1[[#This Row],[Total_Cost]]&lt;60,"medium","high"))</f>
        <v>high</v>
      </c>
      <c r="Q84" t="str">
        <f>IF(Table1[[#This Row],[Discount_Applied]]=TRUE,"discount applied","no discount")</f>
        <v>discount applied</v>
      </c>
    </row>
    <row r="85" spans="1:17" x14ac:dyDescent="0.3">
      <c r="A85">
        <v>1000000083</v>
      </c>
      <c r="B85" s="1">
        <v>44084.830763888887</v>
      </c>
      <c r="C85" t="s">
        <v>213</v>
      </c>
      <c r="D85" t="s">
        <v>214</v>
      </c>
      <c r="E85">
        <v>8</v>
      </c>
      <c r="F85">
        <v>16.170000000000002</v>
      </c>
      <c r="G85" t="s">
        <v>41</v>
      </c>
      <c r="H85" t="s">
        <v>70</v>
      </c>
      <c r="I85" t="s">
        <v>37</v>
      </c>
      <c r="J85" t="b">
        <v>0</v>
      </c>
      <c r="K85" t="s">
        <v>87</v>
      </c>
      <c r="L85" t="s">
        <v>38</v>
      </c>
      <c r="M85" t="s">
        <v>43</v>
      </c>
      <c r="N85">
        <f>YEAR(Table1[[#This Row],[Date]])</f>
        <v>2020</v>
      </c>
      <c r="O85" t="str">
        <f>TEXT(Table1[[#This Row],[Date]],"mmm")</f>
        <v>Sep</v>
      </c>
      <c r="P85" t="str">
        <f>IF(Table1[[#This Row],[Total_Cost]]&lt;25,"low",IF(Table1[[#This Row],[Total_Cost]]&lt;60,"medium","high"))</f>
        <v>low</v>
      </c>
      <c r="Q85" t="str">
        <f>IF(Table1[[#This Row],[Discount_Applied]]=TRUE,"discount applied","no discount")</f>
        <v>no discount</v>
      </c>
    </row>
    <row r="86" spans="1:17" x14ac:dyDescent="0.3">
      <c r="A86">
        <v>1000000084</v>
      </c>
      <c r="B86" s="1">
        <v>44711.435266203705</v>
      </c>
      <c r="C86" t="s">
        <v>215</v>
      </c>
      <c r="D86" t="s">
        <v>216</v>
      </c>
      <c r="E86">
        <v>5</v>
      </c>
      <c r="F86">
        <v>89.56</v>
      </c>
      <c r="G86" t="s">
        <v>15</v>
      </c>
      <c r="H86" t="s">
        <v>36</v>
      </c>
      <c r="I86" t="s">
        <v>46</v>
      </c>
      <c r="J86" t="b">
        <v>0</v>
      </c>
      <c r="K86" t="s">
        <v>51</v>
      </c>
      <c r="L86" t="s">
        <v>19</v>
      </c>
      <c r="M86" t="s">
        <v>43</v>
      </c>
      <c r="N86">
        <f>YEAR(Table1[[#This Row],[Date]])</f>
        <v>2022</v>
      </c>
      <c r="O86" t="str">
        <f>TEXT(Table1[[#This Row],[Date]],"mmm")</f>
        <v>May</v>
      </c>
      <c r="P86" t="str">
        <f>IF(Table1[[#This Row],[Total_Cost]]&lt;25,"low",IF(Table1[[#This Row],[Total_Cost]]&lt;60,"medium","high"))</f>
        <v>high</v>
      </c>
      <c r="Q86" t="str">
        <f>IF(Table1[[#This Row],[Discount_Applied]]=TRUE,"discount applied","no discount")</f>
        <v>no discount</v>
      </c>
    </row>
    <row r="87" spans="1:17" x14ac:dyDescent="0.3">
      <c r="A87">
        <v>1000000085</v>
      </c>
      <c r="B87" s="1">
        <v>44132.970092592594</v>
      </c>
      <c r="C87" t="s">
        <v>217</v>
      </c>
      <c r="D87" t="s">
        <v>218</v>
      </c>
      <c r="E87">
        <v>5</v>
      </c>
      <c r="F87">
        <v>54.94</v>
      </c>
      <c r="G87" t="s">
        <v>31</v>
      </c>
      <c r="H87" t="s">
        <v>96</v>
      </c>
      <c r="I87" t="s">
        <v>46</v>
      </c>
      <c r="J87" t="b">
        <v>0</v>
      </c>
      <c r="K87" t="s">
        <v>51</v>
      </c>
      <c r="L87" t="s">
        <v>19</v>
      </c>
      <c r="M87" t="s">
        <v>20</v>
      </c>
      <c r="N87">
        <f>YEAR(Table1[[#This Row],[Date]])</f>
        <v>2020</v>
      </c>
      <c r="O87" t="str">
        <f>TEXT(Table1[[#This Row],[Date]],"mmm")</f>
        <v>Oct</v>
      </c>
      <c r="P87" t="str">
        <f>IF(Table1[[#This Row],[Total_Cost]]&lt;25,"low",IF(Table1[[#This Row],[Total_Cost]]&lt;60,"medium","high"))</f>
        <v>medium</v>
      </c>
      <c r="Q87" t="str">
        <f>IF(Table1[[#This Row],[Discount_Applied]]=TRUE,"discount applied","no discount")</f>
        <v>no discount</v>
      </c>
    </row>
    <row r="88" spans="1:17" x14ac:dyDescent="0.3">
      <c r="A88">
        <v>1000000086</v>
      </c>
      <c r="B88" s="1">
        <v>44096.139317129629</v>
      </c>
      <c r="C88" t="s">
        <v>219</v>
      </c>
      <c r="D88" t="s">
        <v>220</v>
      </c>
      <c r="E88">
        <v>1</v>
      </c>
      <c r="F88">
        <v>93.74</v>
      </c>
      <c r="G88" t="s">
        <v>23</v>
      </c>
      <c r="H88" t="s">
        <v>70</v>
      </c>
      <c r="I88" t="s">
        <v>25</v>
      </c>
      <c r="J88" t="b">
        <v>0</v>
      </c>
      <c r="K88" t="s">
        <v>47</v>
      </c>
      <c r="L88" t="s">
        <v>27</v>
      </c>
      <c r="M88" t="s">
        <v>20</v>
      </c>
      <c r="N88">
        <f>YEAR(Table1[[#This Row],[Date]])</f>
        <v>2020</v>
      </c>
      <c r="O88" t="str">
        <f>TEXT(Table1[[#This Row],[Date]],"mmm")</f>
        <v>Sep</v>
      </c>
      <c r="P88" t="str">
        <f>IF(Table1[[#This Row],[Total_Cost]]&lt;25,"low",IF(Table1[[#This Row],[Total_Cost]]&lt;60,"medium","high"))</f>
        <v>high</v>
      </c>
      <c r="Q88" t="str">
        <f>IF(Table1[[#This Row],[Discount_Applied]]=TRUE,"discount applied","no discount")</f>
        <v>no discount</v>
      </c>
    </row>
    <row r="89" spans="1:17" x14ac:dyDescent="0.3">
      <c r="A89">
        <v>1000000087</v>
      </c>
      <c r="B89" s="1">
        <v>44442.081342592595</v>
      </c>
      <c r="C89" t="s">
        <v>221</v>
      </c>
      <c r="D89" t="s">
        <v>222</v>
      </c>
      <c r="E89">
        <v>10</v>
      </c>
      <c r="F89">
        <v>67.87</v>
      </c>
      <c r="G89" t="s">
        <v>23</v>
      </c>
      <c r="H89" t="s">
        <v>36</v>
      </c>
      <c r="I89" t="s">
        <v>25</v>
      </c>
      <c r="J89" t="b">
        <v>1</v>
      </c>
      <c r="K89" t="s">
        <v>47</v>
      </c>
      <c r="L89" t="s">
        <v>38</v>
      </c>
      <c r="M89" t="s">
        <v>20</v>
      </c>
      <c r="N89">
        <f>YEAR(Table1[[#This Row],[Date]])</f>
        <v>2021</v>
      </c>
      <c r="O89" t="str">
        <f>TEXT(Table1[[#This Row],[Date]],"mmm")</f>
        <v>Sep</v>
      </c>
      <c r="P89" t="str">
        <f>IF(Table1[[#This Row],[Total_Cost]]&lt;25,"low",IF(Table1[[#This Row],[Total_Cost]]&lt;60,"medium","high"))</f>
        <v>high</v>
      </c>
      <c r="Q89" t="str">
        <f>IF(Table1[[#This Row],[Discount_Applied]]=TRUE,"discount applied","no discount")</f>
        <v>discount applied</v>
      </c>
    </row>
    <row r="90" spans="1:17" x14ac:dyDescent="0.3">
      <c r="A90">
        <v>1000000088</v>
      </c>
      <c r="B90" s="1">
        <v>43944.17827546296</v>
      </c>
      <c r="C90" t="s">
        <v>223</v>
      </c>
      <c r="D90" t="s">
        <v>224</v>
      </c>
      <c r="E90">
        <v>5</v>
      </c>
      <c r="F90">
        <v>8.4600000000000009</v>
      </c>
      <c r="G90" t="s">
        <v>23</v>
      </c>
      <c r="H90" t="s">
        <v>70</v>
      </c>
      <c r="I90" t="s">
        <v>33</v>
      </c>
      <c r="J90" t="b">
        <v>1</v>
      </c>
      <c r="K90" t="s">
        <v>62</v>
      </c>
      <c r="L90" t="s">
        <v>19</v>
      </c>
      <c r="M90" t="s">
        <v>43</v>
      </c>
      <c r="N90">
        <f>YEAR(Table1[[#This Row],[Date]])</f>
        <v>2020</v>
      </c>
      <c r="O90" t="str">
        <f>TEXT(Table1[[#This Row],[Date]],"mmm")</f>
        <v>Apr</v>
      </c>
      <c r="P90" t="str">
        <f>IF(Table1[[#This Row],[Total_Cost]]&lt;25,"low",IF(Table1[[#This Row],[Total_Cost]]&lt;60,"medium","high"))</f>
        <v>low</v>
      </c>
      <c r="Q90" t="str">
        <f>IF(Table1[[#This Row],[Discount_Applied]]=TRUE,"discount applied","no discount")</f>
        <v>discount applied</v>
      </c>
    </row>
    <row r="91" spans="1:17" x14ac:dyDescent="0.3">
      <c r="A91">
        <v>1000000089</v>
      </c>
      <c r="B91" s="1">
        <v>44278.832152777781</v>
      </c>
      <c r="C91" t="s">
        <v>225</v>
      </c>
      <c r="D91" t="s">
        <v>226</v>
      </c>
      <c r="E91">
        <v>8</v>
      </c>
      <c r="F91">
        <v>45.75</v>
      </c>
      <c r="G91" t="s">
        <v>31</v>
      </c>
      <c r="H91" t="s">
        <v>65</v>
      </c>
      <c r="I91" t="s">
        <v>37</v>
      </c>
      <c r="J91" t="b">
        <v>1</v>
      </c>
      <c r="K91" t="s">
        <v>80</v>
      </c>
      <c r="L91" t="s">
        <v>52</v>
      </c>
      <c r="M91" t="s">
        <v>28</v>
      </c>
      <c r="N91">
        <f>YEAR(Table1[[#This Row],[Date]])</f>
        <v>2021</v>
      </c>
      <c r="O91" t="str">
        <f>TEXT(Table1[[#This Row],[Date]],"mmm")</f>
        <v>Mar</v>
      </c>
      <c r="P91" t="str">
        <f>IF(Table1[[#This Row],[Total_Cost]]&lt;25,"low",IF(Table1[[#This Row],[Total_Cost]]&lt;60,"medium","high"))</f>
        <v>medium</v>
      </c>
      <c r="Q91" t="str">
        <f>IF(Table1[[#This Row],[Discount_Applied]]=TRUE,"discount applied","no discount")</f>
        <v>discount applied</v>
      </c>
    </row>
    <row r="92" spans="1:17" x14ac:dyDescent="0.3">
      <c r="A92">
        <v>1000000090</v>
      </c>
      <c r="B92" s="1">
        <v>45248.861747685187</v>
      </c>
      <c r="C92" t="s">
        <v>227</v>
      </c>
      <c r="D92" t="s">
        <v>228</v>
      </c>
      <c r="E92">
        <v>7</v>
      </c>
      <c r="F92">
        <v>34.090000000000003</v>
      </c>
      <c r="G92" t="s">
        <v>41</v>
      </c>
      <c r="H92" t="s">
        <v>16</v>
      </c>
      <c r="I92" t="s">
        <v>59</v>
      </c>
      <c r="J92" t="b">
        <v>0</v>
      </c>
      <c r="K92" t="s">
        <v>62</v>
      </c>
      <c r="L92" t="s">
        <v>27</v>
      </c>
      <c r="M92" t="s">
        <v>20</v>
      </c>
      <c r="N92">
        <f>YEAR(Table1[[#This Row],[Date]])</f>
        <v>2023</v>
      </c>
      <c r="O92" t="str">
        <f>TEXT(Table1[[#This Row],[Date]],"mmm")</f>
        <v>Nov</v>
      </c>
      <c r="P92" t="str">
        <f>IF(Table1[[#This Row],[Total_Cost]]&lt;25,"low",IF(Table1[[#This Row],[Total_Cost]]&lt;60,"medium","high"))</f>
        <v>medium</v>
      </c>
      <c r="Q92" t="str">
        <f>IF(Table1[[#This Row],[Discount_Applied]]=TRUE,"discount applied","no discount")</f>
        <v>no discount</v>
      </c>
    </row>
    <row r="93" spans="1:17" x14ac:dyDescent="0.3">
      <c r="A93">
        <v>1000000091</v>
      </c>
      <c r="B93" s="1">
        <v>45019.899710648147</v>
      </c>
      <c r="C93" t="s">
        <v>229</v>
      </c>
      <c r="D93" t="s">
        <v>230</v>
      </c>
      <c r="E93">
        <v>1</v>
      </c>
      <c r="F93">
        <v>41.48</v>
      </c>
      <c r="G93" t="s">
        <v>31</v>
      </c>
      <c r="H93" t="s">
        <v>77</v>
      </c>
      <c r="I93" t="s">
        <v>59</v>
      </c>
      <c r="J93" t="b">
        <v>0</v>
      </c>
      <c r="K93" t="s">
        <v>26</v>
      </c>
      <c r="L93" t="s">
        <v>19</v>
      </c>
      <c r="M93" t="s">
        <v>43</v>
      </c>
      <c r="N93">
        <f>YEAR(Table1[[#This Row],[Date]])</f>
        <v>2023</v>
      </c>
      <c r="O93" t="str">
        <f>TEXT(Table1[[#This Row],[Date]],"mmm")</f>
        <v>Apr</v>
      </c>
      <c r="P93" t="str">
        <f>IF(Table1[[#This Row],[Total_Cost]]&lt;25,"low",IF(Table1[[#This Row],[Total_Cost]]&lt;60,"medium","high"))</f>
        <v>medium</v>
      </c>
      <c r="Q93" t="str">
        <f>IF(Table1[[#This Row],[Discount_Applied]]=TRUE,"discount applied","no discount")</f>
        <v>no discount</v>
      </c>
    </row>
    <row r="94" spans="1:17" x14ac:dyDescent="0.3">
      <c r="A94">
        <v>1000000092</v>
      </c>
      <c r="B94" s="1">
        <v>44965.640694444446</v>
      </c>
      <c r="C94" t="s">
        <v>231</v>
      </c>
      <c r="D94" t="s">
        <v>232</v>
      </c>
      <c r="E94">
        <v>4</v>
      </c>
      <c r="F94">
        <v>37.380000000000003</v>
      </c>
      <c r="G94" t="s">
        <v>15</v>
      </c>
      <c r="H94" t="s">
        <v>77</v>
      </c>
      <c r="I94" t="s">
        <v>37</v>
      </c>
      <c r="J94" t="b">
        <v>1</v>
      </c>
      <c r="K94" t="s">
        <v>47</v>
      </c>
      <c r="L94" t="s">
        <v>38</v>
      </c>
      <c r="M94" t="s">
        <v>28</v>
      </c>
      <c r="N94">
        <f>YEAR(Table1[[#This Row],[Date]])</f>
        <v>2023</v>
      </c>
      <c r="O94" t="str">
        <f>TEXT(Table1[[#This Row],[Date]],"mmm")</f>
        <v>Feb</v>
      </c>
      <c r="P94" t="str">
        <f>IF(Table1[[#This Row],[Total_Cost]]&lt;25,"low",IF(Table1[[#This Row],[Total_Cost]]&lt;60,"medium","high"))</f>
        <v>medium</v>
      </c>
      <c r="Q94" t="str">
        <f>IF(Table1[[#This Row],[Discount_Applied]]=TRUE,"discount applied","no discount")</f>
        <v>discount applied</v>
      </c>
    </row>
    <row r="95" spans="1:17" x14ac:dyDescent="0.3">
      <c r="A95">
        <v>1000000093</v>
      </c>
      <c r="B95" s="1">
        <v>45290.16988425926</v>
      </c>
      <c r="C95" t="s">
        <v>233</v>
      </c>
      <c r="D95" t="s">
        <v>234</v>
      </c>
      <c r="E95">
        <v>4</v>
      </c>
      <c r="F95">
        <v>55.81</v>
      </c>
      <c r="G95" t="s">
        <v>23</v>
      </c>
      <c r="H95" t="s">
        <v>50</v>
      </c>
      <c r="I95" t="s">
        <v>59</v>
      </c>
      <c r="J95" t="b">
        <v>0</v>
      </c>
      <c r="K95" t="s">
        <v>42</v>
      </c>
      <c r="L95" t="s">
        <v>52</v>
      </c>
      <c r="M95" t="s">
        <v>28</v>
      </c>
      <c r="N95">
        <f>YEAR(Table1[[#This Row],[Date]])</f>
        <v>2023</v>
      </c>
      <c r="O95" t="str">
        <f>TEXT(Table1[[#This Row],[Date]],"mmm")</f>
        <v>Dec</v>
      </c>
      <c r="P95" t="str">
        <f>IF(Table1[[#This Row],[Total_Cost]]&lt;25,"low",IF(Table1[[#This Row],[Total_Cost]]&lt;60,"medium","high"))</f>
        <v>medium</v>
      </c>
      <c r="Q95" t="str">
        <f>IF(Table1[[#This Row],[Discount_Applied]]=TRUE,"discount applied","no discount")</f>
        <v>no discount</v>
      </c>
    </row>
    <row r="96" spans="1:17" x14ac:dyDescent="0.3">
      <c r="A96">
        <v>1000000094</v>
      </c>
      <c r="B96" s="1">
        <v>44296.667337962965</v>
      </c>
      <c r="C96" t="s">
        <v>235</v>
      </c>
      <c r="D96" t="s">
        <v>236</v>
      </c>
      <c r="E96">
        <v>1</v>
      </c>
      <c r="F96">
        <v>90.7</v>
      </c>
      <c r="G96" t="s">
        <v>31</v>
      </c>
      <c r="H96" t="s">
        <v>36</v>
      </c>
      <c r="I96" t="s">
        <v>37</v>
      </c>
      <c r="J96" t="b">
        <v>0</v>
      </c>
      <c r="K96" t="s">
        <v>62</v>
      </c>
      <c r="L96" t="s">
        <v>52</v>
      </c>
      <c r="M96" t="s">
        <v>28</v>
      </c>
      <c r="N96">
        <f>YEAR(Table1[[#This Row],[Date]])</f>
        <v>2021</v>
      </c>
      <c r="O96" t="str">
        <f>TEXT(Table1[[#This Row],[Date]],"mmm")</f>
        <v>Apr</v>
      </c>
      <c r="P96" t="str">
        <f>IF(Table1[[#This Row],[Total_Cost]]&lt;25,"low",IF(Table1[[#This Row],[Total_Cost]]&lt;60,"medium","high"))</f>
        <v>high</v>
      </c>
      <c r="Q96" t="str">
        <f>IF(Table1[[#This Row],[Discount_Applied]]=TRUE,"discount applied","no discount")</f>
        <v>no discount</v>
      </c>
    </row>
    <row r="97" spans="1:17" x14ac:dyDescent="0.3">
      <c r="A97">
        <v>1000000095</v>
      </c>
      <c r="B97" s="1">
        <v>44600.746724537035</v>
      </c>
      <c r="C97" t="s">
        <v>237</v>
      </c>
      <c r="D97" t="s">
        <v>238</v>
      </c>
      <c r="E97">
        <v>3</v>
      </c>
      <c r="F97">
        <v>32.25</v>
      </c>
      <c r="G97" t="s">
        <v>15</v>
      </c>
      <c r="H97" t="s">
        <v>36</v>
      </c>
      <c r="I97" t="s">
        <v>59</v>
      </c>
      <c r="J97" t="b">
        <v>0</v>
      </c>
      <c r="K97" t="s">
        <v>87</v>
      </c>
      <c r="L97" t="s">
        <v>52</v>
      </c>
      <c r="M97" t="s">
        <v>28</v>
      </c>
      <c r="N97">
        <f>YEAR(Table1[[#This Row],[Date]])</f>
        <v>2022</v>
      </c>
      <c r="O97" t="str">
        <f>TEXT(Table1[[#This Row],[Date]],"mmm")</f>
        <v>Feb</v>
      </c>
      <c r="P97" t="str">
        <f>IF(Table1[[#This Row],[Total_Cost]]&lt;25,"low",IF(Table1[[#This Row],[Total_Cost]]&lt;60,"medium","high"))</f>
        <v>medium</v>
      </c>
      <c r="Q97" t="str">
        <f>IF(Table1[[#This Row],[Discount_Applied]]=TRUE,"discount applied","no discount")</f>
        <v>no discount</v>
      </c>
    </row>
    <row r="98" spans="1:17" x14ac:dyDescent="0.3">
      <c r="A98">
        <v>1000000096</v>
      </c>
      <c r="B98" s="1">
        <v>44327.826979166668</v>
      </c>
      <c r="C98" t="s">
        <v>239</v>
      </c>
      <c r="D98" t="s">
        <v>240</v>
      </c>
      <c r="E98">
        <v>8</v>
      </c>
      <c r="F98">
        <v>94.76</v>
      </c>
      <c r="G98" t="s">
        <v>23</v>
      </c>
      <c r="H98" t="s">
        <v>70</v>
      </c>
      <c r="I98" t="s">
        <v>37</v>
      </c>
      <c r="J98" t="b">
        <v>0</v>
      </c>
      <c r="K98" t="s">
        <v>62</v>
      </c>
      <c r="L98" t="s">
        <v>52</v>
      </c>
      <c r="M98" t="s">
        <v>43</v>
      </c>
      <c r="N98">
        <f>YEAR(Table1[[#This Row],[Date]])</f>
        <v>2021</v>
      </c>
      <c r="O98" t="str">
        <f>TEXT(Table1[[#This Row],[Date]],"mmm")</f>
        <v>May</v>
      </c>
      <c r="P98" t="str">
        <f>IF(Table1[[#This Row],[Total_Cost]]&lt;25,"low",IF(Table1[[#This Row],[Total_Cost]]&lt;60,"medium","high"))</f>
        <v>high</v>
      </c>
      <c r="Q98" t="str">
        <f>IF(Table1[[#This Row],[Discount_Applied]]=TRUE,"discount applied","no discount")</f>
        <v>no discount</v>
      </c>
    </row>
    <row r="99" spans="1:17" x14ac:dyDescent="0.3">
      <c r="A99">
        <v>1000000097</v>
      </c>
      <c r="B99" s="1">
        <v>44771.723587962966</v>
      </c>
      <c r="C99" t="s">
        <v>241</v>
      </c>
      <c r="D99" t="s">
        <v>242</v>
      </c>
      <c r="E99">
        <v>5</v>
      </c>
      <c r="F99">
        <v>50.2</v>
      </c>
      <c r="G99" t="s">
        <v>15</v>
      </c>
      <c r="H99" t="s">
        <v>77</v>
      </c>
      <c r="I99" t="s">
        <v>17</v>
      </c>
      <c r="J99" t="b">
        <v>1</v>
      </c>
      <c r="K99" t="s">
        <v>26</v>
      </c>
      <c r="L99" t="s">
        <v>19</v>
      </c>
      <c r="M99" t="s">
        <v>20</v>
      </c>
      <c r="N99">
        <f>YEAR(Table1[[#This Row],[Date]])</f>
        <v>2022</v>
      </c>
      <c r="O99" t="str">
        <f>TEXT(Table1[[#This Row],[Date]],"mmm")</f>
        <v>Jul</v>
      </c>
      <c r="P99" t="str">
        <f>IF(Table1[[#This Row],[Total_Cost]]&lt;25,"low",IF(Table1[[#This Row],[Total_Cost]]&lt;60,"medium","high"))</f>
        <v>medium</v>
      </c>
      <c r="Q99" t="str">
        <f>IF(Table1[[#This Row],[Discount_Applied]]=TRUE,"discount applied","no discount")</f>
        <v>discount applied</v>
      </c>
    </row>
    <row r="100" spans="1:17" x14ac:dyDescent="0.3">
      <c r="A100">
        <v>1000000098</v>
      </c>
      <c r="B100" s="1">
        <v>44839.759976851848</v>
      </c>
      <c r="C100" t="s">
        <v>243</v>
      </c>
      <c r="D100" t="s">
        <v>244</v>
      </c>
      <c r="E100">
        <v>8</v>
      </c>
      <c r="F100">
        <v>29.4</v>
      </c>
      <c r="G100" t="s">
        <v>15</v>
      </c>
      <c r="H100" t="s">
        <v>77</v>
      </c>
      <c r="I100" t="s">
        <v>25</v>
      </c>
      <c r="J100" t="b">
        <v>0</v>
      </c>
      <c r="K100" t="s">
        <v>26</v>
      </c>
      <c r="L100" t="s">
        <v>19</v>
      </c>
      <c r="M100" t="s">
        <v>20</v>
      </c>
      <c r="N100">
        <f>YEAR(Table1[[#This Row],[Date]])</f>
        <v>2022</v>
      </c>
      <c r="O100" t="str">
        <f>TEXT(Table1[[#This Row],[Date]],"mmm")</f>
        <v>Oct</v>
      </c>
      <c r="P100" t="str">
        <f>IF(Table1[[#This Row],[Total_Cost]]&lt;25,"low",IF(Table1[[#This Row],[Total_Cost]]&lt;60,"medium","high"))</f>
        <v>medium</v>
      </c>
      <c r="Q100" t="str">
        <f>IF(Table1[[#This Row],[Discount_Applied]]=TRUE,"discount applied","no discount")</f>
        <v>no discount</v>
      </c>
    </row>
    <row r="101" spans="1:17" x14ac:dyDescent="0.3">
      <c r="A101">
        <v>1000000099</v>
      </c>
      <c r="B101" s="1">
        <v>44044.960960648146</v>
      </c>
      <c r="C101" t="s">
        <v>245</v>
      </c>
      <c r="D101" t="s">
        <v>246</v>
      </c>
      <c r="E101">
        <v>7</v>
      </c>
      <c r="F101">
        <v>27.53</v>
      </c>
      <c r="G101" t="s">
        <v>31</v>
      </c>
      <c r="H101" t="s">
        <v>36</v>
      </c>
      <c r="I101" t="s">
        <v>59</v>
      </c>
      <c r="J101" t="b">
        <v>0</v>
      </c>
      <c r="K101" t="s">
        <v>62</v>
      </c>
      <c r="L101" t="s">
        <v>27</v>
      </c>
      <c r="M101" t="s">
        <v>20</v>
      </c>
      <c r="N101">
        <f>YEAR(Table1[[#This Row],[Date]])</f>
        <v>2020</v>
      </c>
      <c r="O101" t="str">
        <f>TEXT(Table1[[#This Row],[Date]],"mmm")</f>
        <v>Aug</v>
      </c>
      <c r="P101" t="str">
        <f>IF(Table1[[#This Row],[Total_Cost]]&lt;25,"low",IF(Table1[[#This Row],[Total_Cost]]&lt;60,"medium","high"))</f>
        <v>medium</v>
      </c>
      <c r="Q101" t="str">
        <f>IF(Table1[[#This Row],[Discount_Applied]]=TRUE,"discount applied","no discount")</f>
        <v>no discount</v>
      </c>
    </row>
    <row r="102" spans="1:17" x14ac:dyDescent="0.3">
      <c r="A102">
        <v>1000000100</v>
      </c>
      <c r="B102" s="1">
        <v>43845.886250000003</v>
      </c>
      <c r="C102" t="s">
        <v>247</v>
      </c>
      <c r="D102" t="s">
        <v>248</v>
      </c>
      <c r="E102">
        <v>10</v>
      </c>
      <c r="F102">
        <v>71.36</v>
      </c>
      <c r="G102" t="s">
        <v>15</v>
      </c>
      <c r="H102" t="s">
        <v>32</v>
      </c>
      <c r="I102" t="s">
        <v>17</v>
      </c>
      <c r="J102" t="b">
        <v>0</v>
      </c>
      <c r="K102" t="s">
        <v>87</v>
      </c>
      <c r="L102" t="s">
        <v>38</v>
      </c>
      <c r="M102" t="s">
        <v>43</v>
      </c>
      <c r="N102">
        <f>YEAR(Table1[[#This Row],[Date]])</f>
        <v>2020</v>
      </c>
      <c r="O102" t="str">
        <f>TEXT(Table1[[#This Row],[Date]],"mmm")</f>
        <v>Jan</v>
      </c>
      <c r="P102" t="str">
        <f>IF(Table1[[#This Row],[Total_Cost]]&lt;25,"low",IF(Table1[[#This Row],[Total_Cost]]&lt;60,"medium","high"))</f>
        <v>high</v>
      </c>
      <c r="Q102" t="str">
        <f>IF(Table1[[#This Row],[Discount_Applied]]=TRUE,"discount applied","no discount")</f>
        <v>no discount</v>
      </c>
    </row>
    <row r="103" spans="1:17" x14ac:dyDescent="0.3">
      <c r="A103">
        <v>1000000101</v>
      </c>
      <c r="B103" s="1">
        <v>44270.062800925924</v>
      </c>
      <c r="C103" t="s">
        <v>249</v>
      </c>
      <c r="D103" t="s">
        <v>250</v>
      </c>
      <c r="E103">
        <v>8</v>
      </c>
      <c r="F103">
        <v>8.2200000000000006</v>
      </c>
      <c r="G103" t="s">
        <v>15</v>
      </c>
      <c r="H103" t="s">
        <v>65</v>
      </c>
      <c r="I103" t="s">
        <v>59</v>
      </c>
      <c r="J103" t="b">
        <v>0</v>
      </c>
      <c r="K103" t="s">
        <v>51</v>
      </c>
      <c r="L103" t="s">
        <v>27</v>
      </c>
      <c r="M103" t="s">
        <v>20</v>
      </c>
      <c r="N103">
        <f>YEAR(Table1[[#This Row],[Date]])</f>
        <v>2021</v>
      </c>
      <c r="O103" t="str">
        <f>TEXT(Table1[[#This Row],[Date]],"mmm")</f>
        <v>Mar</v>
      </c>
      <c r="P103" t="str">
        <f>IF(Table1[[#This Row],[Total_Cost]]&lt;25,"low",IF(Table1[[#This Row],[Total_Cost]]&lt;60,"medium","high"))</f>
        <v>low</v>
      </c>
      <c r="Q103" t="str">
        <f>IF(Table1[[#This Row],[Discount_Applied]]=TRUE,"discount applied","no discount")</f>
        <v>no discount</v>
      </c>
    </row>
    <row r="104" spans="1:17" x14ac:dyDescent="0.3">
      <c r="A104">
        <v>1000000102</v>
      </c>
      <c r="B104" s="1">
        <v>44856.690520833334</v>
      </c>
      <c r="C104" t="s">
        <v>251</v>
      </c>
      <c r="D104" t="s">
        <v>252</v>
      </c>
      <c r="E104">
        <v>1</v>
      </c>
      <c r="F104">
        <v>92.73</v>
      </c>
      <c r="G104" t="s">
        <v>31</v>
      </c>
      <c r="H104" t="s">
        <v>16</v>
      </c>
      <c r="I104" t="s">
        <v>33</v>
      </c>
      <c r="J104" t="b">
        <v>0</v>
      </c>
      <c r="K104" t="s">
        <v>80</v>
      </c>
      <c r="L104" t="s">
        <v>19</v>
      </c>
      <c r="M104" t="s">
        <v>20</v>
      </c>
      <c r="N104">
        <f>YEAR(Table1[[#This Row],[Date]])</f>
        <v>2022</v>
      </c>
      <c r="O104" t="str">
        <f>TEXT(Table1[[#This Row],[Date]],"mmm")</f>
        <v>Oct</v>
      </c>
      <c r="P104" t="str">
        <f>IF(Table1[[#This Row],[Total_Cost]]&lt;25,"low",IF(Table1[[#This Row],[Total_Cost]]&lt;60,"medium","high"))</f>
        <v>high</v>
      </c>
      <c r="Q104" t="str">
        <f>IF(Table1[[#This Row],[Discount_Applied]]=TRUE,"discount applied","no discount")</f>
        <v>no discount</v>
      </c>
    </row>
    <row r="105" spans="1:17" x14ac:dyDescent="0.3">
      <c r="A105">
        <v>1000000103</v>
      </c>
      <c r="B105" s="1">
        <v>43871.075046296297</v>
      </c>
      <c r="C105" t="s">
        <v>253</v>
      </c>
      <c r="D105" t="s">
        <v>254</v>
      </c>
      <c r="E105">
        <v>10</v>
      </c>
      <c r="F105">
        <v>93.1</v>
      </c>
      <c r="G105" t="s">
        <v>23</v>
      </c>
      <c r="H105" t="s">
        <v>24</v>
      </c>
      <c r="I105" t="s">
        <v>59</v>
      </c>
      <c r="J105" t="b">
        <v>0</v>
      </c>
      <c r="K105" t="s">
        <v>26</v>
      </c>
      <c r="L105" t="s">
        <v>52</v>
      </c>
      <c r="M105" t="s">
        <v>43</v>
      </c>
      <c r="N105">
        <f>YEAR(Table1[[#This Row],[Date]])</f>
        <v>2020</v>
      </c>
      <c r="O105" t="str">
        <f>TEXT(Table1[[#This Row],[Date]],"mmm")</f>
        <v>Feb</v>
      </c>
      <c r="P105" t="str">
        <f>IF(Table1[[#This Row],[Total_Cost]]&lt;25,"low",IF(Table1[[#This Row],[Total_Cost]]&lt;60,"medium","high"))</f>
        <v>high</v>
      </c>
      <c r="Q105" t="str">
        <f>IF(Table1[[#This Row],[Discount_Applied]]=TRUE,"discount applied","no discount")</f>
        <v>no discount</v>
      </c>
    </row>
    <row r="106" spans="1:17" x14ac:dyDescent="0.3">
      <c r="A106">
        <v>1000000104</v>
      </c>
      <c r="B106" s="1">
        <v>44922.27416666667</v>
      </c>
      <c r="C106" t="s">
        <v>255</v>
      </c>
      <c r="D106" t="s">
        <v>256</v>
      </c>
      <c r="E106">
        <v>2</v>
      </c>
      <c r="F106">
        <v>12.24</v>
      </c>
      <c r="G106" t="s">
        <v>23</v>
      </c>
      <c r="H106" t="s">
        <v>65</v>
      </c>
      <c r="I106" t="s">
        <v>33</v>
      </c>
      <c r="J106" t="b">
        <v>1</v>
      </c>
      <c r="K106" t="s">
        <v>47</v>
      </c>
      <c r="L106" t="s">
        <v>27</v>
      </c>
      <c r="M106" t="s">
        <v>20</v>
      </c>
      <c r="N106">
        <f>YEAR(Table1[[#This Row],[Date]])</f>
        <v>2022</v>
      </c>
      <c r="O106" t="str">
        <f>TEXT(Table1[[#This Row],[Date]],"mmm")</f>
        <v>Dec</v>
      </c>
      <c r="P106" t="str">
        <f>IF(Table1[[#This Row],[Total_Cost]]&lt;25,"low",IF(Table1[[#This Row],[Total_Cost]]&lt;60,"medium","high"))</f>
        <v>low</v>
      </c>
      <c r="Q106" t="str">
        <f>IF(Table1[[#This Row],[Discount_Applied]]=TRUE,"discount applied","no discount")</f>
        <v>discount applied</v>
      </c>
    </row>
    <row r="107" spans="1:17" x14ac:dyDescent="0.3">
      <c r="A107">
        <v>1000000105</v>
      </c>
      <c r="B107" s="1">
        <v>44307.154918981483</v>
      </c>
      <c r="C107" t="s">
        <v>257</v>
      </c>
      <c r="D107" t="s">
        <v>258</v>
      </c>
      <c r="E107">
        <v>10</v>
      </c>
      <c r="F107">
        <v>20.13</v>
      </c>
      <c r="G107" t="s">
        <v>23</v>
      </c>
      <c r="H107" t="s">
        <v>70</v>
      </c>
      <c r="I107" t="s">
        <v>46</v>
      </c>
      <c r="J107" t="b">
        <v>1</v>
      </c>
      <c r="K107" t="s">
        <v>42</v>
      </c>
      <c r="L107" t="s">
        <v>52</v>
      </c>
      <c r="M107" t="s">
        <v>43</v>
      </c>
      <c r="N107">
        <f>YEAR(Table1[[#This Row],[Date]])</f>
        <v>2021</v>
      </c>
      <c r="O107" t="str">
        <f>TEXT(Table1[[#This Row],[Date]],"mmm")</f>
        <v>Apr</v>
      </c>
      <c r="P107" t="str">
        <f>IF(Table1[[#This Row],[Total_Cost]]&lt;25,"low",IF(Table1[[#This Row],[Total_Cost]]&lt;60,"medium","high"))</f>
        <v>low</v>
      </c>
      <c r="Q107" t="str">
        <f>IF(Table1[[#This Row],[Discount_Applied]]=TRUE,"discount applied","no discount")</f>
        <v>discount applied</v>
      </c>
    </row>
    <row r="108" spans="1:17" x14ac:dyDescent="0.3">
      <c r="A108">
        <v>1000000106</v>
      </c>
      <c r="B108" s="1">
        <v>44695.50440972222</v>
      </c>
      <c r="C108" t="s">
        <v>259</v>
      </c>
      <c r="D108" t="s">
        <v>260</v>
      </c>
      <c r="E108">
        <v>8</v>
      </c>
      <c r="F108">
        <v>48.09</v>
      </c>
      <c r="G108" t="s">
        <v>15</v>
      </c>
      <c r="H108" t="s">
        <v>96</v>
      </c>
      <c r="I108" t="s">
        <v>37</v>
      </c>
      <c r="J108" t="b">
        <v>1</v>
      </c>
      <c r="K108" t="s">
        <v>47</v>
      </c>
      <c r="L108" t="s">
        <v>38</v>
      </c>
      <c r="M108" t="s">
        <v>28</v>
      </c>
      <c r="N108">
        <f>YEAR(Table1[[#This Row],[Date]])</f>
        <v>2022</v>
      </c>
      <c r="O108" t="str">
        <f>TEXT(Table1[[#This Row],[Date]],"mmm")</f>
        <v>May</v>
      </c>
      <c r="P108" t="str">
        <f>IF(Table1[[#This Row],[Total_Cost]]&lt;25,"low",IF(Table1[[#This Row],[Total_Cost]]&lt;60,"medium","high"))</f>
        <v>medium</v>
      </c>
      <c r="Q108" t="str">
        <f>IF(Table1[[#This Row],[Discount_Applied]]=TRUE,"discount applied","no discount")</f>
        <v>discount applied</v>
      </c>
    </row>
    <row r="109" spans="1:17" x14ac:dyDescent="0.3">
      <c r="A109">
        <v>1000000107</v>
      </c>
      <c r="B109" s="1">
        <v>44956.699965277781</v>
      </c>
      <c r="C109" t="s">
        <v>261</v>
      </c>
      <c r="D109" t="s">
        <v>262</v>
      </c>
      <c r="E109">
        <v>2</v>
      </c>
      <c r="F109">
        <v>37.71</v>
      </c>
      <c r="G109" t="s">
        <v>23</v>
      </c>
      <c r="H109" t="s">
        <v>70</v>
      </c>
      <c r="I109" t="s">
        <v>37</v>
      </c>
      <c r="J109" t="b">
        <v>0</v>
      </c>
      <c r="K109" t="s">
        <v>47</v>
      </c>
      <c r="L109" t="s">
        <v>19</v>
      </c>
      <c r="M109" t="s">
        <v>43</v>
      </c>
      <c r="N109">
        <f>YEAR(Table1[[#This Row],[Date]])</f>
        <v>2023</v>
      </c>
      <c r="O109" t="str">
        <f>TEXT(Table1[[#This Row],[Date]],"mmm")</f>
        <v>Jan</v>
      </c>
      <c r="P109" t="str">
        <f>IF(Table1[[#This Row],[Total_Cost]]&lt;25,"low",IF(Table1[[#This Row],[Total_Cost]]&lt;60,"medium","high"))</f>
        <v>medium</v>
      </c>
      <c r="Q109" t="str">
        <f>IF(Table1[[#This Row],[Discount_Applied]]=TRUE,"discount applied","no discount")</f>
        <v>no discount</v>
      </c>
    </row>
    <row r="110" spans="1:17" x14ac:dyDescent="0.3">
      <c r="A110">
        <v>1000000108</v>
      </c>
      <c r="B110" s="1">
        <v>45210.768958333334</v>
      </c>
      <c r="C110" t="s">
        <v>263</v>
      </c>
      <c r="D110" t="s">
        <v>264</v>
      </c>
      <c r="E110">
        <v>9</v>
      </c>
      <c r="F110">
        <v>30.3</v>
      </c>
      <c r="G110" t="s">
        <v>31</v>
      </c>
      <c r="H110" t="s">
        <v>70</v>
      </c>
      <c r="I110" t="s">
        <v>46</v>
      </c>
      <c r="J110" t="b">
        <v>0</v>
      </c>
      <c r="K110" t="s">
        <v>87</v>
      </c>
      <c r="L110" t="s">
        <v>38</v>
      </c>
      <c r="M110" t="s">
        <v>28</v>
      </c>
      <c r="N110">
        <f>YEAR(Table1[[#This Row],[Date]])</f>
        <v>2023</v>
      </c>
      <c r="O110" t="str">
        <f>TEXT(Table1[[#This Row],[Date]],"mmm")</f>
        <v>Oct</v>
      </c>
      <c r="P110" t="str">
        <f>IF(Table1[[#This Row],[Total_Cost]]&lt;25,"low",IF(Table1[[#This Row],[Total_Cost]]&lt;60,"medium","high"))</f>
        <v>medium</v>
      </c>
      <c r="Q110" t="str">
        <f>IF(Table1[[#This Row],[Discount_Applied]]=TRUE,"discount applied","no discount")</f>
        <v>no discount</v>
      </c>
    </row>
    <row r="111" spans="1:17" x14ac:dyDescent="0.3">
      <c r="A111">
        <v>1000000109</v>
      </c>
      <c r="B111" s="1">
        <v>44828.068553240744</v>
      </c>
      <c r="C111" t="s">
        <v>265</v>
      </c>
      <c r="D111" t="s">
        <v>266</v>
      </c>
      <c r="E111">
        <v>7</v>
      </c>
      <c r="F111">
        <v>57.89</v>
      </c>
      <c r="G111" t="s">
        <v>15</v>
      </c>
      <c r="H111" t="s">
        <v>70</v>
      </c>
      <c r="I111" t="s">
        <v>33</v>
      </c>
      <c r="J111" t="b">
        <v>1</v>
      </c>
      <c r="K111" t="s">
        <v>62</v>
      </c>
      <c r="L111" t="s">
        <v>19</v>
      </c>
      <c r="M111" t="s">
        <v>43</v>
      </c>
      <c r="N111">
        <f>YEAR(Table1[[#This Row],[Date]])</f>
        <v>2022</v>
      </c>
      <c r="O111" t="str">
        <f>TEXT(Table1[[#This Row],[Date]],"mmm")</f>
        <v>Sep</v>
      </c>
      <c r="P111" t="str">
        <f>IF(Table1[[#This Row],[Total_Cost]]&lt;25,"low",IF(Table1[[#This Row],[Total_Cost]]&lt;60,"medium","high"))</f>
        <v>medium</v>
      </c>
      <c r="Q111" t="str">
        <f>IF(Table1[[#This Row],[Discount_Applied]]=TRUE,"discount applied","no discount")</f>
        <v>discount applied</v>
      </c>
    </row>
    <row r="112" spans="1:17" x14ac:dyDescent="0.3">
      <c r="A112">
        <v>1000000110</v>
      </c>
      <c r="B112" s="1">
        <v>44309.548530092594</v>
      </c>
      <c r="C112" t="s">
        <v>267</v>
      </c>
      <c r="D112" t="s">
        <v>268</v>
      </c>
      <c r="E112">
        <v>8</v>
      </c>
      <c r="F112">
        <v>15.34</v>
      </c>
      <c r="G112" t="s">
        <v>23</v>
      </c>
      <c r="H112" t="s">
        <v>77</v>
      </c>
      <c r="I112" t="s">
        <v>33</v>
      </c>
      <c r="J112" t="b">
        <v>1</v>
      </c>
      <c r="K112" t="s">
        <v>87</v>
      </c>
      <c r="L112" t="s">
        <v>19</v>
      </c>
      <c r="M112" t="s">
        <v>28</v>
      </c>
      <c r="N112">
        <f>YEAR(Table1[[#This Row],[Date]])</f>
        <v>2021</v>
      </c>
      <c r="O112" t="str">
        <f>TEXT(Table1[[#This Row],[Date]],"mmm")</f>
        <v>Apr</v>
      </c>
      <c r="P112" t="str">
        <f>IF(Table1[[#This Row],[Total_Cost]]&lt;25,"low",IF(Table1[[#This Row],[Total_Cost]]&lt;60,"medium","high"))</f>
        <v>low</v>
      </c>
      <c r="Q112" t="str">
        <f>IF(Table1[[#This Row],[Discount_Applied]]=TRUE,"discount applied","no discount")</f>
        <v>discount applied</v>
      </c>
    </row>
    <row r="113" spans="1:17" x14ac:dyDescent="0.3">
      <c r="A113">
        <v>1000000111</v>
      </c>
      <c r="B113" s="1">
        <v>44825.508842592593</v>
      </c>
      <c r="C113" t="s">
        <v>269</v>
      </c>
      <c r="D113" t="s">
        <v>270</v>
      </c>
      <c r="E113">
        <v>10</v>
      </c>
      <c r="F113">
        <v>90.93</v>
      </c>
      <c r="G113" t="s">
        <v>23</v>
      </c>
      <c r="H113" t="s">
        <v>77</v>
      </c>
      <c r="I113" t="s">
        <v>25</v>
      </c>
      <c r="J113" t="b">
        <v>1</v>
      </c>
      <c r="K113" t="s">
        <v>87</v>
      </c>
      <c r="L113" t="s">
        <v>27</v>
      </c>
      <c r="M113" t="s">
        <v>20</v>
      </c>
      <c r="N113">
        <f>YEAR(Table1[[#This Row],[Date]])</f>
        <v>2022</v>
      </c>
      <c r="O113" t="str">
        <f>TEXT(Table1[[#This Row],[Date]],"mmm")</f>
        <v>Sep</v>
      </c>
      <c r="P113" t="str">
        <f>IF(Table1[[#This Row],[Total_Cost]]&lt;25,"low",IF(Table1[[#This Row],[Total_Cost]]&lt;60,"medium","high"))</f>
        <v>high</v>
      </c>
      <c r="Q113" t="str">
        <f>IF(Table1[[#This Row],[Discount_Applied]]=TRUE,"discount applied","no discount")</f>
        <v>discount applied</v>
      </c>
    </row>
    <row r="114" spans="1:17" x14ac:dyDescent="0.3">
      <c r="A114">
        <v>1000000112</v>
      </c>
      <c r="B114" s="1">
        <v>44572.483912037038</v>
      </c>
      <c r="C114" t="s">
        <v>271</v>
      </c>
      <c r="D114" t="s">
        <v>272</v>
      </c>
      <c r="E114">
        <v>2</v>
      </c>
      <c r="F114">
        <v>63.34</v>
      </c>
      <c r="G114" t="s">
        <v>23</v>
      </c>
      <c r="H114" t="s">
        <v>129</v>
      </c>
      <c r="I114" t="s">
        <v>37</v>
      </c>
      <c r="J114" t="b">
        <v>1</v>
      </c>
      <c r="K114" t="s">
        <v>51</v>
      </c>
      <c r="L114" t="s">
        <v>27</v>
      </c>
      <c r="M114" t="s">
        <v>20</v>
      </c>
      <c r="N114">
        <f>YEAR(Table1[[#This Row],[Date]])</f>
        <v>2022</v>
      </c>
      <c r="O114" t="str">
        <f>TEXT(Table1[[#This Row],[Date]],"mmm")</f>
        <v>Jan</v>
      </c>
      <c r="P114" t="str">
        <f>IF(Table1[[#This Row],[Total_Cost]]&lt;25,"low",IF(Table1[[#This Row],[Total_Cost]]&lt;60,"medium","high"))</f>
        <v>high</v>
      </c>
      <c r="Q114" t="str">
        <f>IF(Table1[[#This Row],[Discount_Applied]]=TRUE,"discount applied","no discount")</f>
        <v>discount applied</v>
      </c>
    </row>
    <row r="115" spans="1:17" x14ac:dyDescent="0.3">
      <c r="A115">
        <v>1000000113</v>
      </c>
      <c r="B115" s="1">
        <v>45040.046134259261</v>
      </c>
      <c r="C115" t="s">
        <v>273</v>
      </c>
      <c r="D115" t="s">
        <v>274</v>
      </c>
      <c r="E115">
        <v>2</v>
      </c>
      <c r="F115">
        <v>48.86</v>
      </c>
      <c r="G115" t="s">
        <v>31</v>
      </c>
      <c r="H115" t="s">
        <v>77</v>
      </c>
      <c r="I115" t="s">
        <v>46</v>
      </c>
      <c r="J115" t="b">
        <v>0</v>
      </c>
      <c r="K115" t="s">
        <v>87</v>
      </c>
      <c r="L115" t="s">
        <v>38</v>
      </c>
      <c r="M115" t="s">
        <v>43</v>
      </c>
      <c r="N115">
        <f>YEAR(Table1[[#This Row],[Date]])</f>
        <v>2023</v>
      </c>
      <c r="O115" t="str">
        <f>TEXT(Table1[[#This Row],[Date]],"mmm")</f>
        <v>Apr</v>
      </c>
      <c r="P115" t="str">
        <f>IF(Table1[[#This Row],[Total_Cost]]&lt;25,"low",IF(Table1[[#This Row],[Total_Cost]]&lt;60,"medium","high"))</f>
        <v>medium</v>
      </c>
      <c r="Q115" t="str">
        <f>IF(Table1[[#This Row],[Discount_Applied]]=TRUE,"discount applied","no discount")</f>
        <v>no discount</v>
      </c>
    </row>
    <row r="116" spans="1:17" x14ac:dyDescent="0.3">
      <c r="A116">
        <v>1000000114</v>
      </c>
      <c r="B116" s="1">
        <v>44408.941377314812</v>
      </c>
      <c r="C116" t="s">
        <v>275</v>
      </c>
      <c r="D116" t="s">
        <v>276</v>
      </c>
      <c r="E116">
        <v>1</v>
      </c>
      <c r="F116">
        <v>44.08</v>
      </c>
      <c r="G116" t="s">
        <v>41</v>
      </c>
      <c r="H116" t="s">
        <v>16</v>
      </c>
      <c r="I116" t="s">
        <v>46</v>
      </c>
      <c r="J116" t="b">
        <v>1</v>
      </c>
      <c r="K116" t="s">
        <v>87</v>
      </c>
      <c r="L116" t="s">
        <v>19</v>
      </c>
      <c r="M116" t="s">
        <v>20</v>
      </c>
      <c r="N116">
        <f>YEAR(Table1[[#This Row],[Date]])</f>
        <v>2021</v>
      </c>
      <c r="O116" t="str">
        <f>TEXT(Table1[[#This Row],[Date]],"mmm")</f>
        <v>Jul</v>
      </c>
      <c r="P116" t="str">
        <f>IF(Table1[[#This Row],[Total_Cost]]&lt;25,"low",IF(Table1[[#This Row],[Total_Cost]]&lt;60,"medium","high"))</f>
        <v>medium</v>
      </c>
      <c r="Q116" t="str">
        <f>IF(Table1[[#This Row],[Discount_Applied]]=TRUE,"discount applied","no discount")</f>
        <v>discount applied</v>
      </c>
    </row>
    <row r="117" spans="1:17" x14ac:dyDescent="0.3">
      <c r="A117">
        <v>1000000115</v>
      </c>
      <c r="B117" s="1">
        <v>44542.124884259261</v>
      </c>
      <c r="C117" t="s">
        <v>277</v>
      </c>
      <c r="D117" t="s">
        <v>278</v>
      </c>
      <c r="E117">
        <v>1</v>
      </c>
      <c r="F117">
        <v>79.64</v>
      </c>
      <c r="G117" t="s">
        <v>23</v>
      </c>
      <c r="H117" t="s">
        <v>24</v>
      </c>
      <c r="I117" t="s">
        <v>37</v>
      </c>
      <c r="J117" t="b">
        <v>1</v>
      </c>
      <c r="K117" t="s">
        <v>87</v>
      </c>
      <c r="L117" t="s">
        <v>27</v>
      </c>
      <c r="M117" t="s">
        <v>20</v>
      </c>
      <c r="N117">
        <f>YEAR(Table1[[#This Row],[Date]])</f>
        <v>2021</v>
      </c>
      <c r="O117" t="str">
        <f>TEXT(Table1[[#This Row],[Date]],"mmm")</f>
        <v>Dec</v>
      </c>
      <c r="P117" t="str">
        <f>IF(Table1[[#This Row],[Total_Cost]]&lt;25,"low",IF(Table1[[#This Row],[Total_Cost]]&lt;60,"medium","high"))</f>
        <v>high</v>
      </c>
      <c r="Q117" t="str">
        <f>IF(Table1[[#This Row],[Discount_Applied]]=TRUE,"discount applied","no discount")</f>
        <v>discount applied</v>
      </c>
    </row>
    <row r="118" spans="1:17" x14ac:dyDescent="0.3">
      <c r="A118">
        <v>1000000116</v>
      </c>
      <c r="B118" s="1">
        <v>45356.259259259263</v>
      </c>
      <c r="C118" t="s">
        <v>279</v>
      </c>
      <c r="D118" t="s">
        <v>280</v>
      </c>
      <c r="E118">
        <v>5</v>
      </c>
      <c r="F118">
        <v>43.61</v>
      </c>
      <c r="G118" t="s">
        <v>15</v>
      </c>
      <c r="H118" t="s">
        <v>24</v>
      </c>
      <c r="I118" t="s">
        <v>37</v>
      </c>
      <c r="J118" t="b">
        <v>1</v>
      </c>
      <c r="K118" t="s">
        <v>87</v>
      </c>
      <c r="L118" t="s">
        <v>27</v>
      </c>
      <c r="M118" t="s">
        <v>28</v>
      </c>
      <c r="N118">
        <f>YEAR(Table1[[#This Row],[Date]])</f>
        <v>2024</v>
      </c>
      <c r="O118" t="str">
        <f>TEXT(Table1[[#This Row],[Date]],"mmm")</f>
        <v>Mar</v>
      </c>
      <c r="P118" t="str">
        <f>IF(Table1[[#This Row],[Total_Cost]]&lt;25,"low",IF(Table1[[#This Row],[Total_Cost]]&lt;60,"medium","high"))</f>
        <v>medium</v>
      </c>
      <c r="Q118" t="str">
        <f>IF(Table1[[#This Row],[Discount_Applied]]=TRUE,"discount applied","no discount")</f>
        <v>discount applied</v>
      </c>
    </row>
    <row r="119" spans="1:17" x14ac:dyDescent="0.3">
      <c r="A119">
        <v>1000000117</v>
      </c>
      <c r="B119" s="1">
        <v>44201.914097222223</v>
      </c>
      <c r="C119" t="s">
        <v>281</v>
      </c>
      <c r="D119" t="s">
        <v>282</v>
      </c>
      <c r="E119">
        <v>6</v>
      </c>
      <c r="F119">
        <v>25.23</v>
      </c>
      <c r="G119" t="s">
        <v>31</v>
      </c>
      <c r="H119" t="s">
        <v>24</v>
      </c>
      <c r="I119" t="s">
        <v>59</v>
      </c>
      <c r="J119" t="b">
        <v>0</v>
      </c>
      <c r="K119" t="s">
        <v>62</v>
      </c>
      <c r="L119" t="s">
        <v>27</v>
      </c>
      <c r="M119" t="s">
        <v>28</v>
      </c>
      <c r="N119">
        <f>YEAR(Table1[[#This Row],[Date]])</f>
        <v>2021</v>
      </c>
      <c r="O119" t="str">
        <f>TEXT(Table1[[#This Row],[Date]],"mmm")</f>
        <v>Jan</v>
      </c>
      <c r="P119" t="str">
        <f>IF(Table1[[#This Row],[Total_Cost]]&lt;25,"low",IF(Table1[[#This Row],[Total_Cost]]&lt;60,"medium","high"))</f>
        <v>medium</v>
      </c>
      <c r="Q119" t="str">
        <f>IF(Table1[[#This Row],[Discount_Applied]]=TRUE,"discount applied","no discount")</f>
        <v>no discount</v>
      </c>
    </row>
    <row r="120" spans="1:17" x14ac:dyDescent="0.3">
      <c r="A120">
        <v>1000000118</v>
      </c>
      <c r="B120" s="1">
        <v>45022.868831018517</v>
      </c>
      <c r="C120" t="s">
        <v>283</v>
      </c>
      <c r="D120" t="s">
        <v>284</v>
      </c>
      <c r="E120">
        <v>7</v>
      </c>
      <c r="F120">
        <v>13.28</v>
      </c>
      <c r="G120" t="s">
        <v>31</v>
      </c>
      <c r="H120" t="s">
        <v>70</v>
      </c>
      <c r="I120" t="s">
        <v>25</v>
      </c>
      <c r="J120" t="b">
        <v>1</v>
      </c>
      <c r="K120" t="s">
        <v>87</v>
      </c>
      <c r="L120" t="s">
        <v>27</v>
      </c>
      <c r="M120" t="s">
        <v>20</v>
      </c>
      <c r="N120">
        <f>YEAR(Table1[[#This Row],[Date]])</f>
        <v>2023</v>
      </c>
      <c r="O120" t="str">
        <f>TEXT(Table1[[#This Row],[Date]],"mmm")</f>
        <v>Apr</v>
      </c>
      <c r="P120" t="str">
        <f>IF(Table1[[#This Row],[Total_Cost]]&lt;25,"low",IF(Table1[[#This Row],[Total_Cost]]&lt;60,"medium","high"))</f>
        <v>low</v>
      </c>
      <c r="Q120" t="str">
        <f>IF(Table1[[#This Row],[Discount_Applied]]=TRUE,"discount applied","no discount")</f>
        <v>discount applied</v>
      </c>
    </row>
    <row r="121" spans="1:17" x14ac:dyDescent="0.3">
      <c r="A121">
        <v>1000000119</v>
      </c>
      <c r="B121" s="1">
        <v>44368.317430555559</v>
      </c>
      <c r="C121" t="s">
        <v>285</v>
      </c>
      <c r="D121" t="s">
        <v>286</v>
      </c>
      <c r="E121">
        <v>1</v>
      </c>
      <c r="F121">
        <v>60.7</v>
      </c>
      <c r="G121" t="s">
        <v>41</v>
      </c>
      <c r="H121" t="s">
        <v>129</v>
      </c>
      <c r="I121" t="s">
        <v>33</v>
      </c>
      <c r="J121" t="b">
        <v>0</v>
      </c>
      <c r="K121" t="s">
        <v>47</v>
      </c>
      <c r="L121" t="s">
        <v>19</v>
      </c>
      <c r="M121" t="s">
        <v>20</v>
      </c>
      <c r="N121">
        <f>YEAR(Table1[[#This Row],[Date]])</f>
        <v>2021</v>
      </c>
      <c r="O121" t="str">
        <f>TEXT(Table1[[#This Row],[Date]],"mmm")</f>
        <v>Jun</v>
      </c>
      <c r="P121" t="str">
        <f>IF(Table1[[#This Row],[Total_Cost]]&lt;25,"low",IF(Table1[[#This Row],[Total_Cost]]&lt;60,"medium","high"))</f>
        <v>high</v>
      </c>
      <c r="Q121" t="str">
        <f>IF(Table1[[#This Row],[Discount_Applied]]=TRUE,"discount applied","no discount")</f>
        <v>no discount</v>
      </c>
    </row>
    <row r="122" spans="1:17" x14ac:dyDescent="0.3">
      <c r="A122">
        <v>1000000120</v>
      </c>
      <c r="B122" s="1">
        <v>44983.486793981479</v>
      </c>
      <c r="C122" t="s">
        <v>287</v>
      </c>
      <c r="D122" t="s">
        <v>288</v>
      </c>
      <c r="E122">
        <v>8</v>
      </c>
      <c r="F122">
        <v>53.89</v>
      </c>
      <c r="G122" t="s">
        <v>15</v>
      </c>
      <c r="H122" t="s">
        <v>65</v>
      </c>
      <c r="I122" t="s">
        <v>33</v>
      </c>
      <c r="J122" t="b">
        <v>0</v>
      </c>
      <c r="K122" t="s">
        <v>80</v>
      </c>
      <c r="L122" t="s">
        <v>52</v>
      </c>
      <c r="M122" t="s">
        <v>43</v>
      </c>
      <c r="N122">
        <f>YEAR(Table1[[#This Row],[Date]])</f>
        <v>2023</v>
      </c>
      <c r="O122" t="str">
        <f>TEXT(Table1[[#This Row],[Date]],"mmm")</f>
        <v>Feb</v>
      </c>
      <c r="P122" t="str">
        <f>IF(Table1[[#This Row],[Total_Cost]]&lt;25,"low",IF(Table1[[#This Row],[Total_Cost]]&lt;60,"medium","high"))</f>
        <v>medium</v>
      </c>
      <c r="Q122" t="str">
        <f>IF(Table1[[#This Row],[Discount_Applied]]=TRUE,"discount applied","no discount")</f>
        <v>no discount</v>
      </c>
    </row>
    <row r="123" spans="1:17" x14ac:dyDescent="0.3">
      <c r="A123">
        <v>1000000121</v>
      </c>
      <c r="B123" s="1">
        <v>44641.618032407408</v>
      </c>
      <c r="C123" t="s">
        <v>289</v>
      </c>
      <c r="D123" t="s">
        <v>290</v>
      </c>
      <c r="E123">
        <v>8</v>
      </c>
      <c r="F123">
        <v>14.37</v>
      </c>
      <c r="G123" t="s">
        <v>41</v>
      </c>
      <c r="H123" t="s">
        <v>16</v>
      </c>
      <c r="I123" t="s">
        <v>59</v>
      </c>
      <c r="J123" t="b">
        <v>0</v>
      </c>
      <c r="K123" t="s">
        <v>18</v>
      </c>
      <c r="L123" t="s">
        <v>19</v>
      </c>
      <c r="M123" t="s">
        <v>28</v>
      </c>
      <c r="N123">
        <f>YEAR(Table1[[#This Row],[Date]])</f>
        <v>2022</v>
      </c>
      <c r="O123" t="str">
        <f>TEXT(Table1[[#This Row],[Date]],"mmm")</f>
        <v>Mar</v>
      </c>
      <c r="P123" t="str">
        <f>IF(Table1[[#This Row],[Total_Cost]]&lt;25,"low",IF(Table1[[#This Row],[Total_Cost]]&lt;60,"medium","high"))</f>
        <v>low</v>
      </c>
      <c r="Q123" t="str">
        <f>IF(Table1[[#This Row],[Discount_Applied]]=TRUE,"discount applied","no discount")</f>
        <v>no discount</v>
      </c>
    </row>
    <row r="124" spans="1:17" x14ac:dyDescent="0.3">
      <c r="A124">
        <v>1000000122</v>
      </c>
      <c r="B124" s="1">
        <v>44072.570520833331</v>
      </c>
      <c r="C124" t="s">
        <v>291</v>
      </c>
      <c r="D124" t="s">
        <v>292</v>
      </c>
      <c r="E124">
        <v>9</v>
      </c>
      <c r="F124">
        <v>56.04</v>
      </c>
      <c r="G124" t="s">
        <v>15</v>
      </c>
      <c r="H124" t="s">
        <v>36</v>
      </c>
      <c r="I124" t="s">
        <v>33</v>
      </c>
      <c r="J124" t="b">
        <v>1</v>
      </c>
      <c r="K124" t="s">
        <v>51</v>
      </c>
      <c r="L124" t="s">
        <v>38</v>
      </c>
      <c r="M124" t="s">
        <v>20</v>
      </c>
      <c r="N124">
        <f>YEAR(Table1[[#This Row],[Date]])</f>
        <v>2020</v>
      </c>
      <c r="O124" t="str">
        <f>TEXT(Table1[[#This Row],[Date]],"mmm")</f>
        <v>Aug</v>
      </c>
      <c r="P124" t="str">
        <f>IF(Table1[[#This Row],[Total_Cost]]&lt;25,"low",IF(Table1[[#This Row],[Total_Cost]]&lt;60,"medium","high"))</f>
        <v>medium</v>
      </c>
      <c r="Q124" t="str">
        <f>IF(Table1[[#This Row],[Discount_Applied]]=TRUE,"discount applied","no discount")</f>
        <v>discount applied</v>
      </c>
    </row>
    <row r="125" spans="1:17" x14ac:dyDescent="0.3">
      <c r="A125">
        <v>1000000123</v>
      </c>
      <c r="B125" s="1">
        <v>45186.983761574076</v>
      </c>
      <c r="C125" t="s">
        <v>293</v>
      </c>
      <c r="D125" t="s">
        <v>294</v>
      </c>
      <c r="E125">
        <v>4</v>
      </c>
      <c r="F125">
        <v>44.49</v>
      </c>
      <c r="G125" t="s">
        <v>31</v>
      </c>
      <c r="H125" t="s">
        <v>77</v>
      </c>
      <c r="I125" t="s">
        <v>33</v>
      </c>
      <c r="J125" t="b">
        <v>0</v>
      </c>
      <c r="K125" t="s">
        <v>18</v>
      </c>
      <c r="L125" t="s">
        <v>38</v>
      </c>
      <c r="M125" t="s">
        <v>28</v>
      </c>
      <c r="N125">
        <f>YEAR(Table1[[#This Row],[Date]])</f>
        <v>2023</v>
      </c>
      <c r="O125" t="str">
        <f>TEXT(Table1[[#This Row],[Date]],"mmm")</f>
        <v>Sep</v>
      </c>
      <c r="P125" t="str">
        <f>IF(Table1[[#This Row],[Total_Cost]]&lt;25,"low",IF(Table1[[#This Row],[Total_Cost]]&lt;60,"medium","high"))</f>
        <v>medium</v>
      </c>
      <c r="Q125" t="str">
        <f>IF(Table1[[#This Row],[Discount_Applied]]=TRUE,"discount applied","no discount")</f>
        <v>no discount</v>
      </c>
    </row>
    <row r="126" spans="1:17" x14ac:dyDescent="0.3">
      <c r="A126">
        <v>1000000124</v>
      </c>
      <c r="B126" s="1">
        <v>45159.295497685183</v>
      </c>
      <c r="C126" t="s">
        <v>295</v>
      </c>
      <c r="D126" t="s">
        <v>296</v>
      </c>
      <c r="E126">
        <v>7</v>
      </c>
      <c r="F126">
        <v>66.28</v>
      </c>
      <c r="G126" t="s">
        <v>41</v>
      </c>
      <c r="H126" t="s">
        <v>77</v>
      </c>
      <c r="I126" t="s">
        <v>46</v>
      </c>
      <c r="J126" t="b">
        <v>0</v>
      </c>
      <c r="K126" t="s">
        <v>18</v>
      </c>
      <c r="L126" t="s">
        <v>27</v>
      </c>
      <c r="M126" t="s">
        <v>20</v>
      </c>
      <c r="N126">
        <f>YEAR(Table1[[#This Row],[Date]])</f>
        <v>2023</v>
      </c>
      <c r="O126" t="str">
        <f>TEXT(Table1[[#This Row],[Date]],"mmm")</f>
        <v>Aug</v>
      </c>
      <c r="P126" t="str">
        <f>IF(Table1[[#This Row],[Total_Cost]]&lt;25,"low",IF(Table1[[#This Row],[Total_Cost]]&lt;60,"medium","high"))</f>
        <v>high</v>
      </c>
      <c r="Q126" t="str">
        <f>IF(Table1[[#This Row],[Discount_Applied]]=TRUE,"discount applied","no discount")</f>
        <v>no discount</v>
      </c>
    </row>
    <row r="127" spans="1:17" x14ac:dyDescent="0.3">
      <c r="A127">
        <v>1000000125</v>
      </c>
      <c r="B127" s="1">
        <v>44318.590902777774</v>
      </c>
      <c r="C127" t="s">
        <v>297</v>
      </c>
      <c r="D127" t="s">
        <v>298</v>
      </c>
      <c r="E127">
        <v>8</v>
      </c>
      <c r="F127">
        <v>23.96</v>
      </c>
      <c r="G127" t="s">
        <v>23</v>
      </c>
      <c r="H127" t="s">
        <v>36</v>
      </c>
      <c r="I127" t="s">
        <v>59</v>
      </c>
      <c r="J127" t="b">
        <v>1</v>
      </c>
      <c r="K127" t="s">
        <v>42</v>
      </c>
      <c r="L127" t="s">
        <v>38</v>
      </c>
      <c r="M127" t="s">
        <v>20</v>
      </c>
      <c r="N127">
        <f>YEAR(Table1[[#This Row],[Date]])</f>
        <v>2021</v>
      </c>
      <c r="O127" t="str">
        <f>TEXT(Table1[[#This Row],[Date]],"mmm")</f>
        <v>May</v>
      </c>
      <c r="P127" t="str">
        <f>IF(Table1[[#This Row],[Total_Cost]]&lt;25,"low",IF(Table1[[#This Row],[Total_Cost]]&lt;60,"medium","high"))</f>
        <v>low</v>
      </c>
      <c r="Q127" t="str">
        <f>IF(Table1[[#This Row],[Discount_Applied]]=TRUE,"discount applied","no discount")</f>
        <v>discount applied</v>
      </c>
    </row>
    <row r="128" spans="1:17" x14ac:dyDescent="0.3">
      <c r="A128">
        <v>1000000126</v>
      </c>
      <c r="B128" s="1">
        <v>44783.018275462964</v>
      </c>
      <c r="C128" t="s">
        <v>299</v>
      </c>
      <c r="D128" t="s">
        <v>300</v>
      </c>
      <c r="E128">
        <v>10</v>
      </c>
      <c r="F128">
        <v>68.06</v>
      </c>
      <c r="G128" t="s">
        <v>41</v>
      </c>
      <c r="H128" t="s">
        <v>24</v>
      </c>
      <c r="I128" t="s">
        <v>33</v>
      </c>
      <c r="J128" t="b">
        <v>1</v>
      </c>
      <c r="K128" t="s">
        <v>26</v>
      </c>
      <c r="L128" t="s">
        <v>19</v>
      </c>
      <c r="M128" t="s">
        <v>20</v>
      </c>
      <c r="N128">
        <f>YEAR(Table1[[#This Row],[Date]])</f>
        <v>2022</v>
      </c>
      <c r="O128" t="str">
        <f>TEXT(Table1[[#This Row],[Date]],"mmm")</f>
        <v>Aug</v>
      </c>
      <c r="P128" t="str">
        <f>IF(Table1[[#This Row],[Total_Cost]]&lt;25,"low",IF(Table1[[#This Row],[Total_Cost]]&lt;60,"medium","high"))</f>
        <v>high</v>
      </c>
      <c r="Q128" t="str">
        <f>IF(Table1[[#This Row],[Discount_Applied]]=TRUE,"discount applied","no discount")</f>
        <v>discount applied</v>
      </c>
    </row>
    <row r="129" spans="1:17" x14ac:dyDescent="0.3">
      <c r="A129">
        <v>1000000127</v>
      </c>
      <c r="B129" s="1">
        <v>44349.220081018517</v>
      </c>
      <c r="C129" t="s">
        <v>301</v>
      </c>
      <c r="D129" t="s">
        <v>302</v>
      </c>
      <c r="E129">
        <v>7</v>
      </c>
      <c r="F129">
        <v>33.04</v>
      </c>
      <c r="G129" t="s">
        <v>23</v>
      </c>
      <c r="H129" t="s">
        <v>50</v>
      </c>
      <c r="I129" t="s">
        <v>37</v>
      </c>
      <c r="J129" t="b">
        <v>1</v>
      </c>
      <c r="K129" t="s">
        <v>26</v>
      </c>
      <c r="L129" t="s">
        <v>38</v>
      </c>
      <c r="M129" t="s">
        <v>28</v>
      </c>
      <c r="N129">
        <f>YEAR(Table1[[#This Row],[Date]])</f>
        <v>2021</v>
      </c>
      <c r="O129" t="str">
        <f>TEXT(Table1[[#This Row],[Date]],"mmm")</f>
        <v>Jun</v>
      </c>
      <c r="P129" t="str">
        <f>IF(Table1[[#This Row],[Total_Cost]]&lt;25,"low",IF(Table1[[#This Row],[Total_Cost]]&lt;60,"medium","high"))</f>
        <v>medium</v>
      </c>
      <c r="Q129" t="str">
        <f>IF(Table1[[#This Row],[Discount_Applied]]=TRUE,"discount applied","no discount")</f>
        <v>discount applied</v>
      </c>
    </row>
    <row r="130" spans="1:17" x14ac:dyDescent="0.3">
      <c r="A130">
        <v>1000000128</v>
      </c>
      <c r="B130" s="1">
        <v>45412.089282407411</v>
      </c>
      <c r="C130" t="s">
        <v>303</v>
      </c>
      <c r="D130" t="s">
        <v>304</v>
      </c>
      <c r="E130">
        <v>6</v>
      </c>
      <c r="F130">
        <v>34.28</v>
      </c>
      <c r="G130" t="s">
        <v>23</v>
      </c>
      <c r="H130" t="s">
        <v>16</v>
      </c>
      <c r="I130" t="s">
        <v>17</v>
      </c>
      <c r="J130" t="b">
        <v>0</v>
      </c>
      <c r="K130" t="s">
        <v>26</v>
      </c>
      <c r="L130" t="s">
        <v>27</v>
      </c>
      <c r="M130" t="s">
        <v>20</v>
      </c>
      <c r="N130">
        <f>YEAR(Table1[[#This Row],[Date]])</f>
        <v>2024</v>
      </c>
      <c r="O130" t="str">
        <f>TEXT(Table1[[#This Row],[Date]],"mmm")</f>
        <v>Apr</v>
      </c>
      <c r="P130" t="str">
        <f>IF(Table1[[#This Row],[Total_Cost]]&lt;25,"low",IF(Table1[[#This Row],[Total_Cost]]&lt;60,"medium","high"))</f>
        <v>medium</v>
      </c>
      <c r="Q130" t="str">
        <f>IF(Table1[[#This Row],[Discount_Applied]]=TRUE,"discount applied","no discount")</f>
        <v>no discount</v>
      </c>
    </row>
    <row r="131" spans="1:17" x14ac:dyDescent="0.3">
      <c r="A131">
        <v>1000000129</v>
      </c>
      <c r="B131" s="1">
        <v>44132.974351851852</v>
      </c>
      <c r="C131" t="s">
        <v>305</v>
      </c>
      <c r="D131" t="s">
        <v>306</v>
      </c>
      <c r="E131">
        <v>4</v>
      </c>
      <c r="F131">
        <v>24.12</v>
      </c>
      <c r="G131" t="s">
        <v>15</v>
      </c>
      <c r="H131" t="s">
        <v>32</v>
      </c>
      <c r="I131" t="s">
        <v>46</v>
      </c>
      <c r="J131" t="b">
        <v>1</v>
      </c>
      <c r="K131" t="s">
        <v>47</v>
      </c>
      <c r="L131" t="s">
        <v>52</v>
      </c>
      <c r="M131" t="s">
        <v>43</v>
      </c>
      <c r="N131">
        <f>YEAR(Table1[[#This Row],[Date]])</f>
        <v>2020</v>
      </c>
      <c r="O131" t="str">
        <f>TEXT(Table1[[#This Row],[Date]],"mmm")</f>
        <v>Oct</v>
      </c>
      <c r="P131" t="str">
        <f>IF(Table1[[#This Row],[Total_Cost]]&lt;25,"low",IF(Table1[[#This Row],[Total_Cost]]&lt;60,"medium","high"))</f>
        <v>low</v>
      </c>
      <c r="Q131" t="str">
        <f>IF(Table1[[#This Row],[Discount_Applied]]=TRUE,"discount applied","no discount")</f>
        <v>discount applied</v>
      </c>
    </row>
    <row r="132" spans="1:17" x14ac:dyDescent="0.3">
      <c r="A132">
        <v>1000000130</v>
      </c>
      <c r="B132" s="1">
        <v>44812.314351851855</v>
      </c>
      <c r="C132" t="s">
        <v>307</v>
      </c>
      <c r="D132" t="s">
        <v>308</v>
      </c>
      <c r="E132">
        <v>8</v>
      </c>
      <c r="F132">
        <v>9.31</v>
      </c>
      <c r="G132" t="s">
        <v>31</v>
      </c>
      <c r="H132" t="s">
        <v>77</v>
      </c>
      <c r="I132" t="s">
        <v>46</v>
      </c>
      <c r="J132" t="b">
        <v>0</v>
      </c>
      <c r="K132" t="s">
        <v>62</v>
      </c>
      <c r="L132" t="s">
        <v>19</v>
      </c>
      <c r="M132" t="s">
        <v>28</v>
      </c>
      <c r="N132">
        <f>YEAR(Table1[[#This Row],[Date]])</f>
        <v>2022</v>
      </c>
      <c r="O132" t="str">
        <f>TEXT(Table1[[#This Row],[Date]],"mmm")</f>
        <v>Sep</v>
      </c>
      <c r="P132" t="str">
        <f>IF(Table1[[#This Row],[Total_Cost]]&lt;25,"low",IF(Table1[[#This Row],[Total_Cost]]&lt;60,"medium","high"))</f>
        <v>low</v>
      </c>
      <c r="Q132" t="str">
        <f>IF(Table1[[#This Row],[Discount_Applied]]=TRUE,"discount applied","no discount")</f>
        <v>no discount</v>
      </c>
    </row>
    <row r="133" spans="1:17" x14ac:dyDescent="0.3">
      <c r="A133">
        <v>1000000131</v>
      </c>
      <c r="B133" s="1">
        <v>44806.966168981482</v>
      </c>
      <c r="C133" t="s">
        <v>309</v>
      </c>
      <c r="D133" t="s">
        <v>310</v>
      </c>
      <c r="E133">
        <v>10</v>
      </c>
      <c r="F133">
        <v>86.98</v>
      </c>
      <c r="G133" t="s">
        <v>15</v>
      </c>
      <c r="H133" t="s">
        <v>50</v>
      </c>
      <c r="I133" t="s">
        <v>33</v>
      </c>
      <c r="J133" t="b">
        <v>0</v>
      </c>
      <c r="K133" t="s">
        <v>80</v>
      </c>
      <c r="L133" t="s">
        <v>52</v>
      </c>
      <c r="M133" t="s">
        <v>28</v>
      </c>
      <c r="N133">
        <f>YEAR(Table1[[#This Row],[Date]])</f>
        <v>2022</v>
      </c>
      <c r="O133" t="str">
        <f>TEXT(Table1[[#This Row],[Date]],"mmm")</f>
        <v>Sep</v>
      </c>
      <c r="P133" t="str">
        <f>IF(Table1[[#This Row],[Total_Cost]]&lt;25,"low",IF(Table1[[#This Row],[Total_Cost]]&lt;60,"medium","high"))</f>
        <v>high</v>
      </c>
      <c r="Q133" t="str">
        <f>IF(Table1[[#This Row],[Discount_Applied]]=TRUE,"discount applied","no discount")</f>
        <v>no discount</v>
      </c>
    </row>
    <row r="134" spans="1:17" x14ac:dyDescent="0.3">
      <c r="A134">
        <v>1000000132</v>
      </c>
      <c r="B134" s="1">
        <v>44304.905324074076</v>
      </c>
      <c r="C134" t="s">
        <v>311</v>
      </c>
      <c r="D134" t="s">
        <v>312</v>
      </c>
      <c r="E134">
        <v>5</v>
      </c>
      <c r="F134">
        <v>83.34</v>
      </c>
      <c r="G134" t="s">
        <v>15</v>
      </c>
      <c r="H134" t="s">
        <v>129</v>
      </c>
      <c r="I134" t="s">
        <v>59</v>
      </c>
      <c r="J134" t="b">
        <v>0</v>
      </c>
      <c r="K134" t="s">
        <v>80</v>
      </c>
      <c r="L134" t="s">
        <v>38</v>
      </c>
      <c r="M134" t="s">
        <v>43</v>
      </c>
      <c r="N134">
        <f>YEAR(Table1[[#This Row],[Date]])</f>
        <v>2021</v>
      </c>
      <c r="O134" t="str">
        <f>TEXT(Table1[[#This Row],[Date]],"mmm")</f>
        <v>Apr</v>
      </c>
      <c r="P134" t="str">
        <f>IF(Table1[[#This Row],[Total_Cost]]&lt;25,"low",IF(Table1[[#This Row],[Total_Cost]]&lt;60,"medium","high"))</f>
        <v>high</v>
      </c>
      <c r="Q134" t="str">
        <f>IF(Table1[[#This Row],[Discount_Applied]]=TRUE,"discount applied","no discount")</f>
        <v>no discount</v>
      </c>
    </row>
    <row r="135" spans="1:17" x14ac:dyDescent="0.3">
      <c r="A135">
        <v>1000000133</v>
      </c>
      <c r="B135" s="1">
        <v>44750.840671296297</v>
      </c>
      <c r="C135" t="s">
        <v>313</v>
      </c>
      <c r="D135" t="s">
        <v>314</v>
      </c>
      <c r="E135">
        <v>6</v>
      </c>
      <c r="F135">
        <v>40.369999999999997</v>
      </c>
      <c r="G135" t="s">
        <v>41</v>
      </c>
      <c r="H135" t="s">
        <v>50</v>
      </c>
      <c r="I135" t="s">
        <v>33</v>
      </c>
      <c r="J135" t="b">
        <v>0</v>
      </c>
      <c r="K135" t="s">
        <v>87</v>
      </c>
      <c r="L135" t="s">
        <v>19</v>
      </c>
      <c r="M135" t="s">
        <v>43</v>
      </c>
      <c r="N135">
        <f>YEAR(Table1[[#This Row],[Date]])</f>
        <v>2022</v>
      </c>
      <c r="O135" t="str">
        <f>TEXT(Table1[[#This Row],[Date]],"mmm")</f>
        <v>Jul</v>
      </c>
      <c r="P135" t="str">
        <f>IF(Table1[[#This Row],[Total_Cost]]&lt;25,"low",IF(Table1[[#This Row],[Total_Cost]]&lt;60,"medium","high"))</f>
        <v>medium</v>
      </c>
      <c r="Q135" t="str">
        <f>IF(Table1[[#This Row],[Discount_Applied]]=TRUE,"discount applied","no discount")</f>
        <v>no discount</v>
      </c>
    </row>
    <row r="136" spans="1:17" x14ac:dyDescent="0.3">
      <c r="A136">
        <v>1000000134</v>
      </c>
      <c r="B136" s="1">
        <v>44132.133784722224</v>
      </c>
      <c r="C136" t="s">
        <v>315</v>
      </c>
      <c r="D136" t="s">
        <v>316</v>
      </c>
      <c r="E136">
        <v>1</v>
      </c>
      <c r="F136">
        <v>7.14</v>
      </c>
      <c r="G136" t="s">
        <v>15</v>
      </c>
      <c r="H136" t="s">
        <v>129</v>
      </c>
      <c r="I136" t="s">
        <v>33</v>
      </c>
      <c r="J136" t="b">
        <v>0</v>
      </c>
      <c r="K136" t="s">
        <v>87</v>
      </c>
      <c r="L136" t="s">
        <v>38</v>
      </c>
      <c r="M136" t="s">
        <v>43</v>
      </c>
      <c r="N136">
        <f>YEAR(Table1[[#This Row],[Date]])</f>
        <v>2020</v>
      </c>
      <c r="O136" t="str">
        <f>TEXT(Table1[[#This Row],[Date]],"mmm")</f>
        <v>Oct</v>
      </c>
      <c r="P136" t="str">
        <f>IF(Table1[[#This Row],[Total_Cost]]&lt;25,"low",IF(Table1[[#This Row],[Total_Cost]]&lt;60,"medium","high"))</f>
        <v>low</v>
      </c>
      <c r="Q136" t="str">
        <f>IF(Table1[[#This Row],[Discount_Applied]]=TRUE,"discount applied","no discount")</f>
        <v>no discount</v>
      </c>
    </row>
    <row r="137" spans="1:17" x14ac:dyDescent="0.3">
      <c r="A137">
        <v>1000000135</v>
      </c>
      <c r="B137" s="1">
        <v>43955.396238425928</v>
      </c>
      <c r="C137" t="s">
        <v>317</v>
      </c>
      <c r="D137" t="s">
        <v>318</v>
      </c>
      <c r="E137">
        <v>1</v>
      </c>
      <c r="F137">
        <v>56.7</v>
      </c>
      <c r="G137" t="s">
        <v>15</v>
      </c>
      <c r="H137" t="s">
        <v>70</v>
      </c>
      <c r="I137" t="s">
        <v>25</v>
      </c>
      <c r="J137" t="b">
        <v>0</v>
      </c>
      <c r="K137" t="s">
        <v>26</v>
      </c>
      <c r="L137" t="s">
        <v>27</v>
      </c>
      <c r="M137" t="s">
        <v>28</v>
      </c>
      <c r="N137">
        <f>YEAR(Table1[[#This Row],[Date]])</f>
        <v>2020</v>
      </c>
      <c r="O137" t="str">
        <f>TEXT(Table1[[#This Row],[Date]],"mmm")</f>
        <v>May</v>
      </c>
      <c r="P137" t="str">
        <f>IF(Table1[[#This Row],[Total_Cost]]&lt;25,"low",IF(Table1[[#This Row],[Total_Cost]]&lt;60,"medium","high"))</f>
        <v>medium</v>
      </c>
      <c r="Q137" t="str">
        <f>IF(Table1[[#This Row],[Discount_Applied]]=TRUE,"discount applied","no discount")</f>
        <v>no discount</v>
      </c>
    </row>
    <row r="138" spans="1:17" x14ac:dyDescent="0.3">
      <c r="A138">
        <v>1000000136</v>
      </c>
      <c r="B138" s="1">
        <v>44253.468101851853</v>
      </c>
      <c r="C138" t="s">
        <v>319</v>
      </c>
      <c r="D138" t="s">
        <v>320</v>
      </c>
      <c r="E138">
        <v>9</v>
      </c>
      <c r="F138">
        <v>90.9</v>
      </c>
      <c r="G138" t="s">
        <v>31</v>
      </c>
      <c r="H138" t="s">
        <v>36</v>
      </c>
      <c r="I138" t="s">
        <v>33</v>
      </c>
      <c r="J138" t="b">
        <v>0</v>
      </c>
      <c r="K138" t="s">
        <v>87</v>
      </c>
      <c r="L138" t="s">
        <v>27</v>
      </c>
      <c r="M138" t="s">
        <v>43</v>
      </c>
      <c r="N138">
        <f>YEAR(Table1[[#This Row],[Date]])</f>
        <v>2021</v>
      </c>
      <c r="O138" t="str">
        <f>TEXT(Table1[[#This Row],[Date]],"mmm")</f>
        <v>Feb</v>
      </c>
      <c r="P138" t="str">
        <f>IF(Table1[[#This Row],[Total_Cost]]&lt;25,"low",IF(Table1[[#This Row],[Total_Cost]]&lt;60,"medium","high"))</f>
        <v>high</v>
      </c>
      <c r="Q138" t="str">
        <f>IF(Table1[[#This Row],[Discount_Applied]]=TRUE,"discount applied","no discount")</f>
        <v>no discount</v>
      </c>
    </row>
    <row r="139" spans="1:17" x14ac:dyDescent="0.3">
      <c r="A139">
        <v>1000000137</v>
      </c>
      <c r="B139" s="1">
        <v>45232.392361111109</v>
      </c>
      <c r="C139" t="s">
        <v>321</v>
      </c>
      <c r="D139" t="s">
        <v>322</v>
      </c>
      <c r="E139">
        <v>9</v>
      </c>
      <c r="F139">
        <v>59.02</v>
      </c>
      <c r="G139" t="s">
        <v>15</v>
      </c>
      <c r="H139" t="s">
        <v>36</v>
      </c>
      <c r="I139" t="s">
        <v>25</v>
      </c>
      <c r="J139" t="b">
        <v>0</v>
      </c>
      <c r="K139" t="s">
        <v>26</v>
      </c>
      <c r="L139" t="s">
        <v>19</v>
      </c>
      <c r="M139" t="s">
        <v>28</v>
      </c>
      <c r="N139">
        <f>YEAR(Table1[[#This Row],[Date]])</f>
        <v>2023</v>
      </c>
      <c r="O139" t="str">
        <f>TEXT(Table1[[#This Row],[Date]],"mmm")</f>
        <v>Nov</v>
      </c>
      <c r="P139" t="str">
        <f>IF(Table1[[#This Row],[Total_Cost]]&lt;25,"low",IF(Table1[[#This Row],[Total_Cost]]&lt;60,"medium","high"))</f>
        <v>medium</v>
      </c>
      <c r="Q139" t="str">
        <f>IF(Table1[[#This Row],[Discount_Applied]]=TRUE,"discount applied","no discount")</f>
        <v>no discount</v>
      </c>
    </row>
    <row r="140" spans="1:17" x14ac:dyDescent="0.3">
      <c r="A140">
        <v>1000000138</v>
      </c>
      <c r="B140" s="1">
        <v>44293.424027777779</v>
      </c>
      <c r="C140" t="s">
        <v>323</v>
      </c>
      <c r="D140" t="s">
        <v>324</v>
      </c>
      <c r="E140">
        <v>3</v>
      </c>
      <c r="F140">
        <v>36.46</v>
      </c>
      <c r="G140" t="s">
        <v>15</v>
      </c>
      <c r="H140" t="s">
        <v>96</v>
      </c>
      <c r="I140" t="s">
        <v>17</v>
      </c>
      <c r="J140" t="b">
        <v>1</v>
      </c>
      <c r="K140" t="s">
        <v>62</v>
      </c>
      <c r="L140" t="s">
        <v>38</v>
      </c>
      <c r="M140" t="s">
        <v>20</v>
      </c>
      <c r="N140">
        <f>YEAR(Table1[[#This Row],[Date]])</f>
        <v>2021</v>
      </c>
      <c r="O140" t="str">
        <f>TEXT(Table1[[#This Row],[Date]],"mmm")</f>
        <v>Apr</v>
      </c>
      <c r="P140" t="str">
        <f>IF(Table1[[#This Row],[Total_Cost]]&lt;25,"low",IF(Table1[[#This Row],[Total_Cost]]&lt;60,"medium","high"))</f>
        <v>medium</v>
      </c>
      <c r="Q140" t="str">
        <f>IF(Table1[[#This Row],[Discount_Applied]]=TRUE,"discount applied","no discount")</f>
        <v>discount applied</v>
      </c>
    </row>
    <row r="141" spans="1:17" x14ac:dyDescent="0.3">
      <c r="A141">
        <v>1000000139</v>
      </c>
      <c r="B141" s="1">
        <v>44868.095613425925</v>
      </c>
      <c r="C141" t="s">
        <v>325</v>
      </c>
      <c r="D141" t="s">
        <v>326</v>
      </c>
      <c r="E141">
        <v>2</v>
      </c>
      <c r="F141">
        <v>73.349999999999994</v>
      </c>
      <c r="G141" t="s">
        <v>31</v>
      </c>
      <c r="H141" t="s">
        <v>96</v>
      </c>
      <c r="I141" t="s">
        <v>25</v>
      </c>
      <c r="J141" t="b">
        <v>0</v>
      </c>
      <c r="K141" t="s">
        <v>80</v>
      </c>
      <c r="L141" t="s">
        <v>19</v>
      </c>
      <c r="M141" t="s">
        <v>20</v>
      </c>
      <c r="N141">
        <f>YEAR(Table1[[#This Row],[Date]])</f>
        <v>2022</v>
      </c>
      <c r="O141" t="str">
        <f>TEXT(Table1[[#This Row],[Date]],"mmm")</f>
        <v>Nov</v>
      </c>
      <c r="P141" t="str">
        <f>IF(Table1[[#This Row],[Total_Cost]]&lt;25,"low",IF(Table1[[#This Row],[Total_Cost]]&lt;60,"medium","high"))</f>
        <v>high</v>
      </c>
      <c r="Q141" t="str">
        <f>IF(Table1[[#This Row],[Discount_Applied]]=TRUE,"discount applied","no discount")</f>
        <v>no discount</v>
      </c>
    </row>
    <row r="142" spans="1:17" x14ac:dyDescent="0.3">
      <c r="A142">
        <v>1000000140</v>
      </c>
      <c r="B142" s="1">
        <v>44173.673252314817</v>
      </c>
      <c r="C142" t="s">
        <v>327</v>
      </c>
      <c r="D142" t="s">
        <v>328</v>
      </c>
      <c r="E142">
        <v>5</v>
      </c>
      <c r="F142">
        <v>52.95</v>
      </c>
      <c r="G142" t="s">
        <v>15</v>
      </c>
      <c r="H142" t="s">
        <v>24</v>
      </c>
      <c r="I142" t="s">
        <v>37</v>
      </c>
      <c r="J142" t="b">
        <v>1</v>
      </c>
      <c r="K142" t="s">
        <v>87</v>
      </c>
      <c r="L142" t="s">
        <v>52</v>
      </c>
      <c r="M142" t="s">
        <v>20</v>
      </c>
      <c r="N142">
        <f>YEAR(Table1[[#This Row],[Date]])</f>
        <v>2020</v>
      </c>
      <c r="O142" t="str">
        <f>TEXT(Table1[[#This Row],[Date]],"mmm")</f>
        <v>Dec</v>
      </c>
      <c r="P142" t="str">
        <f>IF(Table1[[#This Row],[Total_Cost]]&lt;25,"low",IF(Table1[[#This Row],[Total_Cost]]&lt;60,"medium","high"))</f>
        <v>medium</v>
      </c>
      <c r="Q142" t="str">
        <f>IF(Table1[[#This Row],[Discount_Applied]]=TRUE,"discount applied","no discount")</f>
        <v>discount applied</v>
      </c>
    </row>
    <row r="143" spans="1:17" x14ac:dyDescent="0.3">
      <c r="A143">
        <v>1000000141</v>
      </c>
      <c r="B143" s="1">
        <v>44990.174456018518</v>
      </c>
      <c r="C143" t="s">
        <v>329</v>
      </c>
      <c r="D143" t="s">
        <v>330</v>
      </c>
      <c r="E143">
        <v>1</v>
      </c>
      <c r="F143">
        <v>77.42</v>
      </c>
      <c r="G143" t="s">
        <v>31</v>
      </c>
      <c r="H143" t="s">
        <v>77</v>
      </c>
      <c r="I143" t="s">
        <v>17</v>
      </c>
      <c r="J143" t="b">
        <v>1</v>
      </c>
      <c r="K143" t="s">
        <v>26</v>
      </c>
      <c r="L143" t="s">
        <v>27</v>
      </c>
      <c r="M143" t="s">
        <v>20</v>
      </c>
      <c r="N143">
        <f>YEAR(Table1[[#This Row],[Date]])</f>
        <v>2023</v>
      </c>
      <c r="O143" t="str">
        <f>TEXT(Table1[[#This Row],[Date]],"mmm")</f>
        <v>Mar</v>
      </c>
      <c r="P143" t="str">
        <f>IF(Table1[[#This Row],[Total_Cost]]&lt;25,"low",IF(Table1[[#This Row],[Total_Cost]]&lt;60,"medium","high"))</f>
        <v>high</v>
      </c>
      <c r="Q143" t="str">
        <f>IF(Table1[[#This Row],[Discount_Applied]]=TRUE,"discount applied","no discount")</f>
        <v>discount applied</v>
      </c>
    </row>
    <row r="144" spans="1:17" x14ac:dyDescent="0.3">
      <c r="A144">
        <v>1000000142</v>
      </c>
      <c r="B144" s="1">
        <v>45003.670162037037</v>
      </c>
      <c r="C144" t="s">
        <v>331</v>
      </c>
      <c r="D144" t="s">
        <v>332</v>
      </c>
      <c r="E144">
        <v>7</v>
      </c>
      <c r="F144">
        <v>53.23</v>
      </c>
      <c r="G144" t="s">
        <v>23</v>
      </c>
      <c r="H144" t="s">
        <v>77</v>
      </c>
      <c r="I144" t="s">
        <v>25</v>
      </c>
      <c r="J144" t="b">
        <v>0</v>
      </c>
      <c r="K144" t="s">
        <v>51</v>
      </c>
      <c r="L144" t="s">
        <v>52</v>
      </c>
      <c r="M144" t="s">
        <v>28</v>
      </c>
      <c r="N144">
        <f>YEAR(Table1[[#This Row],[Date]])</f>
        <v>2023</v>
      </c>
      <c r="O144" t="str">
        <f>TEXT(Table1[[#This Row],[Date]],"mmm")</f>
        <v>Mar</v>
      </c>
      <c r="P144" t="str">
        <f>IF(Table1[[#This Row],[Total_Cost]]&lt;25,"low",IF(Table1[[#This Row],[Total_Cost]]&lt;60,"medium","high"))</f>
        <v>medium</v>
      </c>
      <c r="Q144" t="str">
        <f>IF(Table1[[#This Row],[Discount_Applied]]=TRUE,"discount applied","no discount")</f>
        <v>no discount</v>
      </c>
    </row>
    <row r="145" spans="1:17" x14ac:dyDescent="0.3">
      <c r="A145">
        <v>1000000143</v>
      </c>
      <c r="B145" s="1">
        <v>45386.227951388886</v>
      </c>
      <c r="C145" t="s">
        <v>333</v>
      </c>
      <c r="D145" t="s">
        <v>334</v>
      </c>
      <c r="E145">
        <v>4</v>
      </c>
      <c r="F145">
        <v>71.540000000000006</v>
      </c>
      <c r="G145" t="s">
        <v>31</v>
      </c>
      <c r="H145" t="s">
        <v>77</v>
      </c>
      <c r="I145" t="s">
        <v>33</v>
      </c>
      <c r="J145" t="b">
        <v>1</v>
      </c>
      <c r="K145" t="s">
        <v>87</v>
      </c>
      <c r="L145" t="s">
        <v>27</v>
      </c>
      <c r="M145" t="s">
        <v>43</v>
      </c>
      <c r="N145">
        <f>YEAR(Table1[[#This Row],[Date]])</f>
        <v>2024</v>
      </c>
      <c r="O145" t="str">
        <f>TEXT(Table1[[#This Row],[Date]],"mmm")</f>
        <v>Apr</v>
      </c>
      <c r="P145" t="str">
        <f>IF(Table1[[#This Row],[Total_Cost]]&lt;25,"low",IF(Table1[[#This Row],[Total_Cost]]&lt;60,"medium","high"))</f>
        <v>high</v>
      </c>
      <c r="Q145" t="str">
        <f>IF(Table1[[#This Row],[Discount_Applied]]=TRUE,"discount applied","no discount")</f>
        <v>discount applied</v>
      </c>
    </row>
    <row r="146" spans="1:17" x14ac:dyDescent="0.3">
      <c r="A146">
        <v>1000000144</v>
      </c>
      <c r="B146" s="1">
        <v>44884.991481481484</v>
      </c>
      <c r="C146" t="s">
        <v>335</v>
      </c>
      <c r="D146" t="s">
        <v>336</v>
      </c>
      <c r="E146">
        <v>6</v>
      </c>
      <c r="F146">
        <v>78.930000000000007</v>
      </c>
      <c r="G146" t="s">
        <v>23</v>
      </c>
      <c r="H146" t="s">
        <v>24</v>
      </c>
      <c r="I146" t="s">
        <v>37</v>
      </c>
      <c r="J146" t="b">
        <v>1</v>
      </c>
      <c r="K146" t="s">
        <v>87</v>
      </c>
      <c r="L146" t="s">
        <v>27</v>
      </c>
      <c r="M146" t="s">
        <v>20</v>
      </c>
      <c r="N146">
        <f>YEAR(Table1[[#This Row],[Date]])</f>
        <v>2022</v>
      </c>
      <c r="O146" t="str">
        <f>TEXT(Table1[[#This Row],[Date]],"mmm")</f>
        <v>Nov</v>
      </c>
      <c r="P146" t="str">
        <f>IF(Table1[[#This Row],[Total_Cost]]&lt;25,"low",IF(Table1[[#This Row],[Total_Cost]]&lt;60,"medium","high"))</f>
        <v>high</v>
      </c>
      <c r="Q146" t="str">
        <f>IF(Table1[[#This Row],[Discount_Applied]]=TRUE,"discount applied","no discount")</f>
        <v>discount applied</v>
      </c>
    </row>
    <row r="147" spans="1:17" x14ac:dyDescent="0.3">
      <c r="A147">
        <v>1000000145</v>
      </c>
      <c r="B147" s="1">
        <v>44964.117615740739</v>
      </c>
      <c r="C147" t="s">
        <v>337</v>
      </c>
      <c r="D147" t="s">
        <v>338</v>
      </c>
      <c r="E147">
        <v>4</v>
      </c>
      <c r="F147">
        <v>76.86</v>
      </c>
      <c r="G147" t="s">
        <v>15</v>
      </c>
      <c r="H147" t="s">
        <v>70</v>
      </c>
      <c r="I147" t="s">
        <v>59</v>
      </c>
      <c r="J147" t="b">
        <v>1</v>
      </c>
      <c r="K147" t="s">
        <v>51</v>
      </c>
      <c r="L147" t="s">
        <v>52</v>
      </c>
      <c r="M147" t="s">
        <v>43</v>
      </c>
      <c r="N147">
        <f>YEAR(Table1[[#This Row],[Date]])</f>
        <v>2023</v>
      </c>
      <c r="O147" t="str">
        <f>TEXT(Table1[[#This Row],[Date]],"mmm")</f>
        <v>Feb</v>
      </c>
      <c r="P147" t="str">
        <f>IF(Table1[[#This Row],[Total_Cost]]&lt;25,"low",IF(Table1[[#This Row],[Total_Cost]]&lt;60,"medium","high"))</f>
        <v>high</v>
      </c>
      <c r="Q147" t="str">
        <f>IF(Table1[[#This Row],[Discount_Applied]]=TRUE,"discount applied","no discount")</f>
        <v>discount applied</v>
      </c>
    </row>
    <row r="148" spans="1:17" x14ac:dyDescent="0.3">
      <c r="A148">
        <v>1000000146</v>
      </c>
      <c r="B148" s="1">
        <v>44926.820555555554</v>
      </c>
      <c r="C148" t="s">
        <v>339</v>
      </c>
      <c r="D148" t="s">
        <v>340</v>
      </c>
      <c r="E148">
        <v>2</v>
      </c>
      <c r="F148">
        <v>25.04</v>
      </c>
      <c r="G148" t="s">
        <v>41</v>
      </c>
      <c r="H148" t="s">
        <v>77</v>
      </c>
      <c r="I148" t="s">
        <v>37</v>
      </c>
      <c r="J148" t="b">
        <v>1</v>
      </c>
      <c r="K148" t="s">
        <v>80</v>
      </c>
      <c r="L148" t="s">
        <v>19</v>
      </c>
      <c r="M148" t="s">
        <v>43</v>
      </c>
      <c r="N148">
        <f>YEAR(Table1[[#This Row],[Date]])</f>
        <v>2022</v>
      </c>
      <c r="O148" t="str">
        <f>TEXT(Table1[[#This Row],[Date]],"mmm")</f>
        <v>Dec</v>
      </c>
      <c r="P148" t="str">
        <f>IF(Table1[[#This Row],[Total_Cost]]&lt;25,"low",IF(Table1[[#This Row],[Total_Cost]]&lt;60,"medium","high"))</f>
        <v>medium</v>
      </c>
      <c r="Q148" t="str">
        <f>IF(Table1[[#This Row],[Discount_Applied]]=TRUE,"discount applied","no discount")</f>
        <v>discount applied</v>
      </c>
    </row>
    <row r="149" spans="1:17" x14ac:dyDescent="0.3">
      <c r="A149">
        <v>1000000147</v>
      </c>
      <c r="B149" s="1">
        <v>44273.555555555555</v>
      </c>
      <c r="C149" t="s">
        <v>341</v>
      </c>
      <c r="D149" t="s">
        <v>342</v>
      </c>
      <c r="E149">
        <v>1</v>
      </c>
      <c r="F149">
        <v>62.25</v>
      </c>
      <c r="G149" t="s">
        <v>23</v>
      </c>
      <c r="H149" t="s">
        <v>16</v>
      </c>
      <c r="I149" t="s">
        <v>17</v>
      </c>
      <c r="J149" t="b">
        <v>1</v>
      </c>
      <c r="K149" t="s">
        <v>62</v>
      </c>
      <c r="L149" t="s">
        <v>38</v>
      </c>
      <c r="M149" t="s">
        <v>43</v>
      </c>
      <c r="N149">
        <f>YEAR(Table1[[#This Row],[Date]])</f>
        <v>2021</v>
      </c>
      <c r="O149" t="str">
        <f>TEXT(Table1[[#This Row],[Date]],"mmm")</f>
        <v>Mar</v>
      </c>
      <c r="P149" t="str">
        <f>IF(Table1[[#This Row],[Total_Cost]]&lt;25,"low",IF(Table1[[#This Row],[Total_Cost]]&lt;60,"medium","high"))</f>
        <v>high</v>
      </c>
      <c r="Q149" t="str">
        <f>IF(Table1[[#This Row],[Discount_Applied]]=TRUE,"discount applied","no discount")</f>
        <v>discount applied</v>
      </c>
    </row>
    <row r="150" spans="1:17" x14ac:dyDescent="0.3">
      <c r="A150">
        <v>1000000148</v>
      </c>
      <c r="B150" s="1">
        <v>45135.357430555552</v>
      </c>
      <c r="C150" t="s">
        <v>343</v>
      </c>
      <c r="D150" t="s">
        <v>344</v>
      </c>
      <c r="E150">
        <v>6</v>
      </c>
      <c r="F150">
        <v>45.81</v>
      </c>
      <c r="G150" t="s">
        <v>41</v>
      </c>
      <c r="H150" t="s">
        <v>36</v>
      </c>
      <c r="I150" t="s">
        <v>33</v>
      </c>
      <c r="J150" t="b">
        <v>0</v>
      </c>
      <c r="K150" t="s">
        <v>62</v>
      </c>
      <c r="L150" t="s">
        <v>19</v>
      </c>
      <c r="M150" t="s">
        <v>20</v>
      </c>
      <c r="N150">
        <f>YEAR(Table1[[#This Row],[Date]])</f>
        <v>2023</v>
      </c>
      <c r="O150" t="str">
        <f>TEXT(Table1[[#This Row],[Date]],"mmm")</f>
        <v>Jul</v>
      </c>
      <c r="P150" t="str">
        <f>IF(Table1[[#This Row],[Total_Cost]]&lt;25,"low",IF(Table1[[#This Row],[Total_Cost]]&lt;60,"medium","high"))</f>
        <v>medium</v>
      </c>
      <c r="Q150" t="str">
        <f>IF(Table1[[#This Row],[Discount_Applied]]=TRUE,"discount applied","no discount")</f>
        <v>no discount</v>
      </c>
    </row>
    <row r="151" spans="1:17" x14ac:dyDescent="0.3">
      <c r="A151">
        <v>1000000149</v>
      </c>
      <c r="B151" s="1">
        <v>44297.167337962965</v>
      </c>
      <c r="C151" t="s">
        <v>345</v>
      </c>
      <c r="D151" t="s">
        <v>346</v>
      </c>
      <c r="E151">
        <v>4</v>
      </c>
      <c r="F151">
        <v>47.73</v>
      </c>
      <c r="G151" t="s">
        <v>41</v>
      </c>
      <c r="H151" t="s">
        <v>32</v>
      </c>
      <c r="I151" t="s">
        <v>17</v>
      </c>
      <c r="J151" t="b">
        <v>1</v>
      </c>
      <c r="K151" t="s">
        <v>47</v>
      </c>
      <c r="L151" t="s">
        <v>52</v>
      </c>
      <c r="M151" t="s">
        <v>43</v>
      </c>
      <c r="N151">
        <f>YEAR(Table1[[#This Row],[Date]])</f>
        <v>2021</v>
      </c>
      <c r="O151" t="str">
        <f>TEXT(Table1[[#This Row],[Date]],"mmm")</f>
        <v>Apr</v>
      </c>
      <c r="P151" t="str">
        <f>IF(Table1[[#This Row],[Total_Cost]]&lt;25,"low",IF(Table1[[#This Row],[Total_Cost]]&lt;60,"medium","high"))</f>
        <v>medium</v>
      </c>
      <c r="Q151" t="str">
        <f>IF(Table1[[#This Row],[Discount_Applied]]=TRUE,"discount applied","no discount")</f>
        <v>discount applied</v>
      </c>
    </row>
    <row r="152" spans="1:17" x14ac:dyDescent="0.3">
      <c r="A152">
        <v>1000000150</v>
      </c>
      <c r="B152" s="1">
        <v>44096.429618055554</v>
      </c>
      <c r="C152" t="s">
        <v>347</v>
      </c>
      <c r="D152" t="s">
        <v>348</v>
      </c>
      <c r="E152">
        <v>2</v>
      </c>
      <c r="F152">
        <v>58.89</v>
      </c>
      <c r="G152" t="s">
        <v>41</v>
      </c>
      <c r="H152" t="s">
        <v>70</v>
      </c>
      <c r="I152" t="s">
        <v>25</v>
      </c>
      <c r="J152" t="b">
        <v>0</v>
      </c>
      <c r="K152" t="s">
        <v>26</v>
      </c>
      <c r="L152" t="s">
        <v>19</v>
      </c>
      <c r="M152" t="s">
        <v>20</v>
      </c>
      <c r="N152">
        <f>YEAR(Table1[[#This Row],[Date]])</f>
        <v>2020</v>
      </c>
      <c r="O152" t="str">
        <f>TEXT(Table1[[#This Row],[Date]],"mmm")</f>
        <v>Sep</v>
      </c>
      <c r="P152" t="str">
        <f>IF(Table1[[#This Row],[Total_Cost]]&lt;25,"low",IF(Table1[[#This Row],[Total_Cost]]&lt;60,"medium","high"))</f>
        <v>medium</v>
      </c>
      <c r="Q152" t="str">
        <f>IF(Table1[[#This Row],[Discount_Applied]]=TRUE,"discount applied","no discount")</f>
        <v>no discount</v>
      </c>
    </row>
    <row r="153" spans="1:17" x14ac:dyDescent="0.3">
      <c r="A153">
        <v>1000000151</v>
      </c>
      <c r="B153" s="1">
        <v>44303.538275462961</v>
      </c>
      <c r="C153" t="s">
        <v>349</v>
      </c>
      <c r="D153" t="s">
        <v>350</v>
      </c>
      <c r="E153">
        <v>9</v>
      </c>
      <c r="F153">
        <v>65.150000000000006</v>
      </c>
      <c r="G153" t="s">
        <v>41</v>
      </c>
      <c r="H153" t="s">
        <v>24</v>
      </c>
      <c r="I153" t="s">
        <v>33</v>
      </c>
      <c r="J153" t="b">
        <v>1</v>
      </c>
      <c r="K153" t="s">
        <v>62</v>
      </c>
      <c r="L153" t="s">
        <v>52</v>
      </c>
      <c r="M153" t="s">
        <v>28</v>
      </c>
      <c r="N153">
        <f>YEAR(Table1[[#This Row],[Date]])</f>
        <v>2021</v>
      </c>
      <c r="O153" t="str">
        <f>TEXT(Table1[[#This Row],[Date]],"mmm")</f>
        <v>Apr</v>
      </c>
      <c r="P153" t="str">
        <f>IF(Table1[[#This Row],[Total_Cost]]&lt;25,"low",IF(Table1[[#This Row],[Total_Cost]]&lt;60,"medium","high"))</f>
        <v>high</v>
      </c>
      <c r="Q153" t="str">
        <f>IF(Table1[[#This Row],[Discount_Applied]]=TRUE,"discount applied","no discount")</f>
        <v>discount applied</v>
      </c>
    </row>
    <row r="154" spans="1:17" x14ac:dyDescent="0.3">
      <c r="A154">
        <v>1000000152</v>
      </c>
      <c r="B154" s="1">
        <v>44040.17386574074</v>
      </c>
      <c r="C154" t="s">
        <v>351</v>
      </c>
      <c r="D154" t="s">
        <v>352</v>
      </c>
      <c r="E154">
        <v>8</v>
      </c>
      <c r="F154">
        <v>73.23</v>
      </c>
      <c r="G154" t="s">
        <v>31</v>
      </c>
      <c r="H154" t="s">
        <v>16</v>
      </c>
      <c r="I154" t="s">
        <v>46</v>
      </c>
      <c r="J154" t="b">
        <v>1</v>
      </c>
      <c r="K154" t="s">
        <v>26</v>
      </c>
      <c r="L154" t="s">
        <v>27</v>
      </c>
      <c r="M154" t="s">
        <v>20</v>
      </c>
      <c r="N154">
        <f>YEAR(Table1[[#This Row],[Date]])</f>
        <v>2020</v>
      </c>
      <c r="O154" t="str">
        <f>TEXT(Table1[[#This Row],[Date]],"mmm")</f>
        <v>Jul</v>
      </c>
      <c r="P154" t="str">
        <f>IF(Table1[[#This Row],[Total_Cost]]&lt;25,"low",IF(Table1[[#This Row],[Total_Cost]]&lt;60,"medium","high"))</f>
        <v>high</v>
      </c>
      <c r="Q154" t="str">
        <f>IF(Table1[[#This Row],[Discount_Applied]]=TRUE,"discount applied","no discount")</f>
        <v>discount applied</v>
      </c>
    </row>
    <row r="155" spans="1:17" x14ac:dyDescent="0.3">
      <c r="A155">
        <v>1000000153</v>
      </c>
      <c r="B155" s="1">
        <v>45271.531388888892</v>
      </c>
      <c r="C155" t="s">
        <v>353</v>
      </c>
      <c r="D155" t="s">
        <v>354</v>
      </c>
      <c r="E155">
        <v>10</v>
      </c>
      <c r="F155">
        <v>54.02</v>
      </c>
      <c r="G155" t="s">
        <v>23</v>
      </c>
      <c r="H155" t="s">
        <v>65</v>
      </c>
      <c r="I155" t="s">
        <v>37</v>
      </c>
      <c r="J155" t="b">
        <v>1</v>
      </c>
      <c r="K155" t="s">
        <v>87</v>
      </c>
      <c r="L155" t="s">
        <v>38</v>
      </c>
      <c r="M155" t="s">
        <v>28</v>
      </c>
      <c r="N155">
        <f>YEAR(Table1[[#This Row],[Date]])</f>
        <v>2023</v>
      </c>
      <c r="O155" t="str">
        <f>TEXT(Table1[[#This Row],[Date]],"mmm")</f>
        <v>Dec</v>
      </c>
      <c r="P155" t="str">
        <f>IF(Table1[[#This Row],[Total_Cost]]&lt;25,"low",IF(Table1[[#This Row],[Total_Cost]]&lt;60,"medium","high"))</f>
        <v>medium</v>
      </c>
      <c r="Q155" t="str">
        <f>IF(Table1[[#This Row],[Discount_Applied]]=TRUE,"discount applied","no discount")</f>
        <v>discount applied</v>
      </c>
    </row>
    <row r="156" spans="1:17" x14ac:dyDescent="0.3">
      <c r="A156">
        <v>1000000154</v>
      </c>
      <c r="B156" s="1">
        <v>45189.875601851854</v>
      </c>
      <c r="C156" t="s">
        <v>355</v>
      </c>
      <c r="D156" t="s">
        <v>356</v>
      </c>
      <c r="E156">
        <v>9</v>
      </c>
      <c r="F156">
        <v>87.79</v>
      </c>
      <c r="G156" t="s">
        <v>31</v>
      </c>
      <c r="H156" t="s">
        <v>70</v>
      </c>
      <c r="I156" t="s">
        <v>17</v>
      </c>
      <c r="J156" t="b">
        <v>0</v>
      </c>
      <c r="K156" t="s">
        <v>42</v>
      </c>
      <c r="L156" t="s">
        <v>52</v>
      </c>
      <c r="M156" t="s">
        <v>43</v>
      </c>
      <c r="N156">
        <f>YEAR(Table1[[#This Row],[Date]])</f>
        <v>2023</v>
      </c>
      <c r="O156" t="str">
        <f>TEXT(Table1[[#This Row],[Date]],"mmm")</f>
        <v>Sep</v>
      </c>
      <c r="P156" t="str">
        <f>IF(Table1[[#This Row],[Total_Cost]]&lt;25,"low",IF(Table1[[#This Row],[Total_Cost]]&lt;60,"medium","high"))</f>
        <v>high</v>
      </c>
      <c r="Q156" t="str">
        <f>IF(Table1[[#This Row],[Discount_Applied]]=TRUE,"discount applied","no discount")</f>
        <v>no discount</v>
      </c>
    </row>
    <row r="157" spans="1:17" x14ac:dyDescent="0.3">
      <c r="A157">
        <v>1000000155</v>
      </c>
      <c r="B157" s="1">
        <v>43939.06212962963</v>
      </c>
      <c r="C157" t="s">
        <v>357</v>
      </c>
      <c r="D157" t="s">
        <v>30</v>
      </c>
      <c r="E157">
        <v>6</v>
      </c>
      <c r="F157">
        <v>36.1</v>
      </c>
      <c r="G157" t="s">
        <v>15</v>
      </c>
      <c r="H157" t="s">
        <v>16</v>
      </c>
      <c r="I157" t="s">
        <v>46</v>
      </c>
      <c r="J157" t="b">
        <v>0</v>
      </c>
      <c r="K157" t="s">
        <v>80</v>
      </c>
      <c r="L157" t="s">
        <v>27</v>
      </c>
      <c r="M157" t="s">
        <v>43</v>
      </c>
      <c r="N157">
        <f>YEAR(Table1[[#This Row],[Date]])</f>
        <v>2020</v>
      </c>
      <c r="O157" t="str">
        <f>TEXT(Table1[[#This Row],[Date]],"mmm")</f>
        <v>Apr</v>
      </c>
      <c r="P157" t="str">
        <f>IF(Table1[[#This Row],[Total_Cost]]&lt;25,"low",IF(Table1[[#This Row],[Total_Cost]]&lt;60,"medium","high"))</f>
        <v>medium</v>
      </c>
      <c r="Q157" t="str">
        <f>IF(Table1[[#This Row],[Discount_Applied]]=TRUE,"discount applied","no discount")</f>
        <v>no discount</v>
      </c>
    </row>
    <row r="158" spans="1:17" x14ac:dyDescent="0.3">
      <c r="A158">
        <v>1000000156</v>
      </c>
      <c r="B158" s="1">
        <v>45208.5237037037</v>
      </c>
      <c r="C158" t="s">
        <v>358</v>
      </c>
      <c r="D158" t="s">
        <v>359</v>
      </c>
      <c r="E158">
        <v>7</v>
      </c>
      <c r="F158">
        <v>98.26</v>
      </c>
      <c r="G158" t="s">
        <v>23</v>
      </c>
      <c r="H158" t="s">
        <v>96</v>
      </c>
      <c r="I158" t="s">
        <v>59</v>
      </c>
      <c r="J158" t="b">
        <v>0</v>
      </c>
      <c r="K158" t="s">
        <v>62</v>
      </c>
      <c r="L158" t="s">
        <v>27</v>
      </c>
      <c r="M158" t="s">
        <v>43</v>
      </c>
      <c r="N158">
        <f>YEAR(Table1[[#This Row],[Date]])</f>
        <v>2023</v>
      </c>
      <c r="O158" t="str">
        <f>TEXT(Table1[[#This Row],[Date]],"mmm")</f>
        <v>Oct</v>
      </c>
      <c r="P158" t="str">
        <f>IF(Table1[[#This Row],[Total_Cost]]&lt;25,"low",IF(Table1[[#This Row],[Total_Cost]]&lt;60,"medium","high"))</f>
        <v>high</v>
      </c>
      <c r="Q158" t="str">
        <f>IF(Table1[[#This Row],[Discount_Applied]]=TRUE,"discount applied","no discount")</f>
        <v>no discount</v>
      </c>
    </row>
    <row r="159" spans="1:17" x14ac:dyDescent="0.3">
      <c r="A159">
        <v>1000000157</v>
      </c>
      <c r="B159" s="1">
        <v>44480.140486111108</v>
      </c>
      <c r="C159" t="s">
        <v>360</v>
      </c>
      <c r="D159" t="s">
        <v>361</v>
      </c>
      <c r="E159">
        <v>6</v>
      </c>
      <c r="F159">
        <v>44.73</v>
      </c>
      <c r="G159" t="s">
        <v>15</v>
      </c>
      <c r="H159" t="s">
        <v>24</v>
      </c>
      <c r="I159" t="s">
        <v>17</v>
      </c>
      <c r="J159" t="b">
        <v>1</v>
      </c>
      <c r="K159" t="s">
        <v>87</v>
      </c>
      <c r="L159" t="s">
        <v>19</v>
      </c>
      <c r="M159" t="s">
        <v>20</v>
      </c>
      <c r="N159">
        <f>YEAR(Table1[[#This Row],[Date]])</f>
        <v>2021</v>
      </c>
      <c r="O159" t="str">
        <f>TEXT(Table1[[#This Row],[Date]],"mmm")</f>
        <v>Oct</v>
      </c>
      <c r="P159" t="str">
        <f>IF(Table1[[#This Row],[Total_Cost]]&lt;25,"low",IF(Table1[[#This Row],[Total_Cost]]&lt;60,"medium","high"))</f>
        <v>medium</v>
      </c>
      <c r="Q159" t="str">
        <f>IF(Table1[[#This Row],[Discount_Applied]]=TRUE,"discount applied","no discount")</f>
        <v>discount applied</v>
      </c>
    </row>
    <row r="160" spans="1:17" x14ac:dyDescent="0.3">
      <c r="A160">
        <v>1000000158</v>
      </c>
      <c r="B160" s="1">
        <v>45004.547037037039</v>
      </c>
      <c r="C160" t="s">
        <v>362</v>
      </c>
      <c r="D160" t="s">
        <v>363</v>
      </c>
      <c r="E160">
        <v>5</v>
      </c>
      <c r="F160">
        <v>35.83</v>
      </c>
      <c r="G160" t="s">
        <v>41</v>
      </c>
      <c r="H160" t="s">
        <v>70</v>
      </c>
      <c r="I160" t="s">
        <v>17</v>
      </c>
      <c r="J160" t="b">
        <v>1</v>
      </c>
      <c r="K160" t="s">
        <v>80</v>
      </c>
      <c r="L160" t="s">
        <v>52</v>
      </c>
      <c r="M160" t="s">
        <v>28</v>
      </c>
      <c r="N160">
        <f>YEAR(Table1[[#This Row],[Date]])</f>
        <v>2023</v>
      </c>
      <c r="O160" t="str">
        <f>TEXT(Table1[[#This Row],[Date]],"mmm")</f>
        <v>Mar</v>
      </c>
      <c r="P160" t="str">
        <f>IF(Table1[[#This Row],[Total_Cost]]&lt;25,"low",IF(Table1[[#This Row],[Total_Cost]]&lt;60,"medium","high"))</f>
        <v>medium</v>
      </c>
      <c r="Q160" t="str">
        <f>IF(Table1[[#This Row],[Discount_Applied]]=TRUE,"discount applied","no discount")</f>
        <v>discount applied</v>
      </c>
    </row>
    <row r="161" spans="1:17" x14ac:dyDescent="0.3">
      <c r="A161">
        <v>1000000159</v>
      </c>
      <c r="B161" s="1">
        <v>44520.41547453704</v>
      </c>
      <c r="C161" t="s">
        <v>364</v>
      </c>
      <c r="D161" t="s">
        <v>304</v>
      </c>
      <c r="E161">
        <v>9</v>
      </c>
      <c r="F161">
        <v>64.319999999999993</v>
      </c>
      <c r="G161" t="s">
        <v>15</v>
      </c>
      <c r="H161" t="s">
        <v>77</v>
      </c>
      <c r="I161" t="s">
        <v>17</v>
      </c>
      <c r="J161" t="b">
        <v>1</v>
      </c>
      <c r="K161" t="s">
        <v>62</v>
      </c>
      <c r="L161" t="s">
        <v>38</v>
      </c>
      <c r="M161" t="s">
        <v>43</v>
      </c>
      <c r="N161">
        <f>YEAR(Table1[[#This Row],[Date]])</f>
        <v>2021</v>
      </c>
      <c r="O161" t="str">
        <f>TEXT(Table1[[#This Row],[Date]],"mmm")</f>
        <v>Nov</v>
      </c>
      <c r="P161" t="str">
        <f>IF(Table1[[#This Row],[Total_Cost]]&lt;25,"low",IF(Table1[[#This Row],[Total_Cost]]&lt;60,"medium","high"))</f>
        <v>high</v>
      </c>
      <c r="Q161" t="str">
        <f>IF(Table1[[#This Row],[Discount_Applied]]=TRUE,"discount applied","no discount")</f>
        <v>discount applied</v>
      </c>
    </row>
    <row r="162" spans="1:17" x14ac:dyDescent="0.3">
      <c r="A162">
        <v>1000000160</v>
      </c>
      <c r="B162" s="1">
        <v>45350.612361111111</v>
      </c>
      <c r="C162" t="s">
        <v>365</v>
      </c>
      <c r="D162" t="s">
        <v>366</v>
      </c>
      <c r="E162">
        <v>9</v>
      </c>
      <c r="F162">
        <v>71.790000000000006</v>
      </c>
      <c r="G162" t="s">
        <v>15</v>
      </c>
      <c r="H162" t="s">
        <v>65</v>
      </c>
      <c r="I162" t="s">
        <v>46</v>
      </c>
      <c r="J162" t="b">
        <v>0</v>
      </c>
      <c r="K162" t="s">
        <v>80</v>
      </c>
      <c r="L162" t="s">
        <v>52</v>
      </c>
      <c r="M162" t="s">
        <v>28</v>
      </c>
      <c r="N162">
        <f>YEAR(Table1[[#This Row],[Date]])</f>
        <v>2024</v>
      </c>
      <c r="O162" t="str">
        <f>TEXT(Table1[[#This Row],[Date]],"mmm")</f>
        <v>Feb</v>
      </c>
      <c r="P162" t="str">
        <f>IF(Table1[[#This Row],[Total_Cost]]&lt;25,"low",IF(Table1[[#This Row],[Total_Cost]]&lt;60,"medium","high"))</f>
        <v>high</v>
      </c>
      <c r="Q162" t="str">
        <f>IF(Table1[[#This Row],[Discount_Applied]]=TRUE,"discount applied","no discount")</f>
        <v>no discount</v>
      </c>
    </row>
    <row r="163" spans="1:17" x14ac:dyDescent="0.3">
      <c r="A163">
        <v>1000000161</v>
      </c>
      <c r="B163" s="1">
        <v>44630.945833333331</v>
      </c>
      <c r="C163" t="s">
        <v>367</v>
      </c>
      <c r="D163" t="s">
        <v>368</v>
      </c>
      <c r="E163">
        <v>9</v>
      </c>
      <c r="F163">
        <v>86.43</v>
      </c>
      <c r="G163" t="s">
        <v>15</v>
      </c>
      <c r="H163" t="s">
        <v>77</v>
      </c>
      <c r="I163" t="s">
        <v>25</v>
      </c>
      <c r="J163" t="b">
        <v>1</v>
      </c>
      <c r="K163" t="s">
        <v>47</v>
      </c>
      <c r="L163" t="s">
        <v>52</v>
      </c>
      <c r="M163" t="s">
        <v>20</v>
      </c>
      <c r="N163">
        <f>YEAR(Table1[[#This Row],[Date]])</f>
        <v>2022</v>
      </c>
      <c r="O163" t="str">
        <f>TEXT(Table1[[#This Row],[Date]],"mmm")</f>
        <v>Mar</v>
      </c>
      <c r="P163" t="str">
        <f>IF(Table1[[#This Row],[Total_Cost]]&lt;25,"low",IF(Table1[[#This Row],[Total_Cost]]&lt;60,"medium","high"))</f>
        <v>high</v>
      </c>
      <c r="Q163" t="str">
        <f>IF(Table1[[#This Row],[Discount_Applied]]=TRUE,"discount applied","no discount")</f>
        <v>discount applied</v>
      </c>
    </row>
    <row r="164" spans="1:17" x14ac:dyDescent="0.3">
      <c r="A164">
        <v>1000000162</v>
      </c>
      <c r="B164" s="1">
        <v>44860.969548611109</v>
      </c>
      <c r="C164" t="s">
        <v>369</v>
      </c>
      <c r="D164" t="s">
        <v>108</v>
      </c>
      <c r="E164">
        <v>5</v>
      </c>
      <c r="F164">
        <v>57.3</v>
      </c>
      <c r="G164" t="s">
        <v>15</v>
      </c>
      <c r="H164" t="s">
        <v>36</v>
      </c>
      <c r="I164" t="s">
        <v>37</v>
      </c>
      <c r="J164" t="b">
        <v>1</v>
      </c>
      <c r="K164" t="s">
        <v>80</v>
      </c>
      <c r="L164" t="s">
        <v>19</v>
      </c>
      <c r="M164" t="s">
        <v>28</v>
      </c>
      <c r="N164">
        <f>YEAR(Table1[[#This Row],[Date]])</f>
        <v>2022</v>
      </c>
      <c r="O164" t="str">
        <f>TEXT(Table1[[#This Row],[Date]],"mmm")</f>
        <v>Oct</v>
      </c>
      <c r="P164" t="str">
        <f>IF(Table1[[#This Row],[Total_Cost]]&lt;25,"low",IF(Table1[[#This Row],[Total_Cost]]&lt;60,"medium","high"))</f>
        <v>medium</v>
      </c>
      <c r="Q164" t="str">
        <f>IF(Table1[[#This Row],[Discount_Applied]]=TRUE,"discount applied","no discount")</f>
        <v>discount applied</v>
      </c>
    </row>
    <row r="165" spans="1:17" x14ac:dyDescent="0.3">
      <c r="A165">
        <v>1000000163</v>
      </c>
      <c r="B165" s="1">
        <v>44063.636921296296</v>
      </c>
      <c r="C165" t="s">
        <v>370</v>
      </c>
      <c r="D165" t="s">
        <v>371</v>
      </c>
      <c r="E165">
        <v>6</v>
      </c>
      <c r="F165">
        <v>21.9</v>
      </c>
      <c r="G165" t="s">
        <v>23</v>
      </c>
      <c r="H165" t="s">
        <v>36</v>
      </c>
      <c r="I165" t="s">
        <v>25</v>
      </c>
      <c r="J165" t="b">
        <v>0</v>
      </c>
      <c r="K165" t="s">
        <v>42</v>
      </c>
      <c r="L165" t="s">
        <v>19</v>
      </c>
      <c r="M165" t="s">
        <v>43</v>
      </c>
      <c r="N165">
        <f>YEAR(Table1[[#This Row],[Date]])</f>
        <v>2020</v>
      </c>
      <c r="O165" t="str">
        <f>TEXT(Table1[[#This Row],[Date]],"mmm")</f>
        <v>Aug</v>
      </c>
      <c r="P165" t="str">
        <f>IF(Table1[[#This Row],[Total_Cost]]&lt;25,"low",IF(Table1[[#This Row],[Total_Cost]]&lt;60,"medium","high"))</f>
        <v>low</v>
      </c>
      <c r="Q165" t="str">
        <f>IF(Table1[[#This Row],[Discount_Applied]]=TRUE,"discount applied","no discount")</f>
        <v>no discount</v>
      </c>
    </row>
    <row r="166" spans="1:17" x14ac:dyDescent="0.3">
      <c r="A166">
        <v>1000000164</v>
      </c>
      <c r="B166" s="1">
        <v>45263.13071759259</v>
      </c>
      <c r="C166" t="s">
        <v>372</v>
      </c>
      <c r="D166" t="s">
        <v>373</v>
      </c>
      <c r="E166">
        <v>7</v>
      </c>
      <c r="F166">
        <v>53.99</v>
      </c>
      <c r="G166" t="s">
        <v>23</v>
      </c>
      <c r="H166" t="s">
        <v>16</v>
      </c>
      <c r="I166" t="s">
        <v>33</v>
      </c>
      <c r="J166" t="b">
        <v>1</v>
      </c>
      <c r="K166" t="s">
        <v>62</v>
      </c>
      <c r="L166" t="s">
        <v>19</v>
      </c>
      <c r="M166" t="s">
        <v>20</v>
      </c>
      <c r="N166">
        <f>YEAR(Table1[[#This Row],[Date]])</f>
        <v>2023</v>
      </c>
      <c r="O166" t="str">
        <f>TEXT(Table1[[#This Row],[Date]],"mmm")</f>
        <v>Dec</v>
      </c>
      <c r="P166" t="str">
        <f>IF(Table1[[#This Row],[Total_Cost]]&lt;25,"low",IF(Table1[[#This Row],[Total_Cost]]&lt;60,"medium","high"))</f>
        <v>medium</v>
      </c>
      <c r="Q166" t="str">
        <f>IF(Table1[[#This Row],[Discount_Applied]]=TRUE,"discount applied","no discount")</f>
        <v>discount applied</v>
      </c>
    </row>
    <row r="167" spans="1:17" x14ac:dyDescent="0.3">
      <c r="A167">
        <v>1000000165</v>
      </c>
      <c r="B167" s="1">
        <v>44311.211678240739</v>
      </c>
      <c r="C167" t="s">
        <v>374</v>
      </c>
      <c r="D167" t="s">
        <v>375</v>
      </c>
      <c r="E167">
        <v>10</v>
      </c>
      <c r="F167">
        <v>38.130000000000003</v>
      </c>
      <c r="G167" t="s">
        <v>15</v>
      </c>
      <c r="H167" t="s">
        <v>65</v>
      </c>
      <c r="I167" t="s">
        <v>33</v>
      </c>
      <c r="J167" t="b">
        <v>0</v>
      </c>
      <c r="K167" t="s">
        <v>42</v>
      </c>
      <c r="L167" t="s">
        <v>52</v>
      </c>
      <c r="M167" t="s">
        <v>43</v>
      </c>
      <c r="N167">
        <f>YEAR(Table1[[#This Row],[Date]])</f>
        <v>2021</v>
      </c>
      <c r="O167" t="str">
        <f>TEXT(Table1[[#This Row],[Date]],"mmm")</f>
        <v>Apr</v>
      </c>
      <c r="P167" t="str">
        <f>IF(Table1[[#This Row],[Total_Cost]]&lt;25,"low",IF(Table1[[#This Row],[Total_Cost]]&lt;60,"medium","high"))</f>
        <v>medium</v>
      </c>
      <c r="Q167" t="str">
        <f>IF(Table1[[#This Row],[Discount_Applied]]=TRUE,"discount applied","no discount")</f>
        <v>no discount</v>
      </c>
    </row>
    <row r="168" spans="1:17" x14ac:dyDescent="0.3">
      <c r="A168">
        <v>1000000166</v>
      </c>
      <c r="B168" s="1">
        <v>45406.909641203703</v>
      </c>
      <c r="C168" t="s">
        <v>376</v>
      </c>
      <c r="D168" t="s">
        <v>377</v>
      </c>
      <c r="E168">
        <v>5</v>
      </c>
      <c r="F168">
        <v>53.09</v>
      </c>
      <c r="G168" t="s">
        <v>23</v>
      </c>
      <c r="H168" t="s">
        <v>96</v>
      </c>
      <c r="I168" t="s">
        <v>33</v>
      </c>
      <c r="J168" t="b">
        <v>0</v>
      </c>
      <c r="K168" t="s">
        <v>26</v>
      </c>
      <c r="L168" t="s">
        <v>27</v>
      </c>
      <c r="M168" t="s">
        <v>28</v>
      </c>
      <c r="N168">
        <f>YEAR(Table1[[#This Row],[Date]])</f>
        <v>2024</v>
      </c>
      <c r="O168" t="str">
        <f>TEXT(Table1[[#This Row],[Date]],"mmm")</f>
        <v>Apr</v>
      </c>
      <c r="P168" t="str">
        <f>IF(Table1[[#This Row],[Total_Cost]]&lt;25,"low",IF(Table1[[#This Row],[Total_Cost]]&lt;60,"medium","high"))</f>
        <v>medium</v>
      </c>
      <c r="Q168" t="str">
        <f>IF(Table1[[#This Row],[Discount_Applied]]=TRUE,"discount applied","no discount")</f>
        <v>no discount</v>
      </c>
    </row>
    <row r="169" spans="1:17" x14ac:dyDescent="0.3">
      <c r="A169">
        <v>1000000167</v>
      </c>
      <c r="B169" s="1">
        <v>44128.600740740738</v>
      </c>
      <c r="C169" t="s">
        <v>378</v>
      </c>
      <c r="D169" t="s">
        <v>379</v>
      </c>
      <c r="E169">
        <v>8</v>
      </c>
      <c r="F169">
        <v>82.66</v>
      </c>
      <c r="G169" t="s">
        <v>23</v>
      </c>
      <c r="H169" t="s">
        <v>16</v>
      </c>
      <c r="I169" t="s">
        <v>25</v>
      </c>
      <c r="J169" t="b">
        <v>1</v>
      </c>
      <c r="K169" t="s">
        <v>18</v>
      </c>
      <c r="L169" t="s">
        <v>52</v>
      </c>
      <c r="M169" t="s">
        <v>20</v>
      </c>
      <c r="N169">
        <f>YEAR(Table1[[#This Row],[Date]])</f>
        <v>2020</v>
      </c>
      <c r="O169" t="str">
        <f>TEXT(Table1[[#This Row],[Date]],"mmm")</f>
        <v>Oct</v>
      </c>
      <c r="P169" t="str">
        <f>IF(Table1[[#This Row],[Total_Cost]]&lt;25,"low",IF(Table1[[#This Row],[Total_Cost]]&lt;60,"medium","high"))</f>
        <v>high</v>
      </c>
      <c r="Q169" t="str">
        <f>IF(Table1[[#This Row],[Discount_Applied]]=TRUE,"discount applied","no discount")</f>
        <v>discount applied</v>
      </c>
    </row>
    <row r="170" spans="1:17" x14ac:dyDescent="0.3">
      <c r="A170">
        <v>1000000168</v>
      </c>
      <c r="B170" s="1">
        <v>44010.760127314818</v>
      </c>
      <c r="C170" t="s">
        <v>380</v>
      </c>
      <c r="D170" t="s">
        <v>381</v>
      </c>
      <c r="E170">
        <v>4</v>
      </c>
      <c r="F170">
        <v>63.4</v>
      </c>
      <c r="G170" t="s">
        <v>31</v>
      </c>
      <c r="H170" t="s">
        <v>70</v>
      </c>
      <c r="I170" t="s">
        <v>59</v>
      </c>
      <c r="J170" t="b">
        <v>1</v>
      </c>
      <c r="K170" t="s">
        <v>62</v>
      </c>
      <c r="L170" t="s">
        <v>38</v>
      </c>
      <c r="M170" t="s">
        <v>20</v>
      </c>
      <c r="N170">
        <f>YEAR(Table1[[#This Row],[Date]])</f>
        <v>2020</v>
      </c>
      <c r="O170" t="str">
        <f>TEXT(Table1[[#This Row],[Date]],"mmm")</f>
        <v>Jun</v>
      </c>
      <c r="P170" t="str">
        <f>IF(Table1[[#This Row],[Total_Cost]]&lt;25,"low",IF(Table1[[#This Row],[Total_Cost]]&lt;60,"medium","high"))</f>
        <v>high</v>
      </c>
      <c r="Q170" t="str">
        <f>IF(Table1[[#This Row],[Discount_Applied]]=TRUE,"discount applied","no discount")</f>
        <v>discount applied</v>
      </c>
    </row>
    <row r="171" spans="1:17" x14ac:dyDescent="0.3">
      <c r="A171">
        <v>1000000169</v>
      </c>
      <c r="B171" s="1">
        <v>45101.6093287037</v>
      </c>
      <c r="C171" t="s">
        <v>382</v>
      </c>
      <c r="D171" t="s">
        <v>383</v>
      </c>
      <c r="E171">
        <v>9</v>
      </c>
      <c r="F171">
        <v>20.51</v>
      </c>
      <c r="G171" t="s">
        <v>41</v>
      </c>
      <c r="H171" t="s">
        <v>65</v>
      </c>
      <c r="I171" t="s">
        <v>37</v>
      </c>
      <c r="J171" t="b">
        <v>0</v>
      </c>
      <c r="K171" t="s">
        <v>87</v>
      </c>
      <c r="L171" t="s">
        <v>38</v>
      </c>
      <c r="M171" t="s">
        <v>28</v>
      </c>
      <c r="N171">
        <f>YEAR(Table1[[#This Row],[Date]])</f>
        <v>2023</v>
      </c>
      <c r="O171" t="str">
        <f>TEXT(Table1[[#This Row],[Date]],"mmm")</f>
        <v>Jun</v>
      </c>
      <c r="P171" t="str">
        <f>IF(Table1[[#This Row],[Total_Cost]]&lt;25,"low",IF(Table1[[#This Row],[Total_Cost]]&lt;60,"medium","high"))</f>
        <v>low</v>
      </c>
      <c r="Q171" t="str">
        <f>IF(Table1[[#This Row],[Discount_Applied]]=TRUE,"discount applied","no discount")</f>
        <v>no discount</v>
      </c>
    </row>
    <row r="172" spans="1:17" x14ac:dyDescent="0.3">
      <c r="A172">
        <v>1000000170</v>
      </c>
      <c r="B172" s="1">
        <v>45172.769456018519</v>
      </c>
      <c r="C172" t="s">
        <v>384</v>
      </c>
      <c r="D172" t="s">
        <v>385</v>
      </c>
      <c r="E172">
        <v>7</v>
      </c>
      <c r="F172">
        <v>35.130000000000003</v>
      </c>
      <c r="G172" t="s">
        <v>15</v>
      </c>
      <c r="H172" t="s">
        <v>96</v>
      </c>
      <c r="I172" t="s">
        <v>33</v>
      </c>
      <c r="J172" t="b">
        <v>0</v>
      </c>
      <c r="K172" t="s">
        <v>18</v>
      </c>
      <c r="L172" t="s">
        <v>38</v>
      </c>
      <c r="M172" t="s">
        <v>20</v>
      </c>
      <c r="N172">
        <f>YEAR(Table1[[#This Row],[Date]])</f>
        <v>2023</v>
      </c>
      <c r="O172" t="str">
        <f>TEXT(Table1[[#This Row],[Date]],"mmm")</f>
        <v>Sep</v>
      </c>
      <c r="P172" t="str">
        <f>IF(Table1[[#This Row],[Total_Cost]]&lt;25,"low",IF(Table1[[#This Row],[Total_Cost]]&lt;60,"medium","high"))</f>
        <v>medium</v>
      </c>
      <c r="Q172" t="str">
        <f>IF(Table1[[#This Row],[Discount_Applied]]=TRUE,"discount applied","no discount")</f>
        <v>no discount</v>
      </c>
    </row>
    <row r="173" spans="1:17" x14ac:dyDescent="0.3">
      <c r="A173">
        <v>1000000171</v>
      </c>
      <c r="B173" s="1">
        <v>44971.956296296295</v>
      </c>
      <c r="C173" t="s">
        <v>386</v>
      </c>
      <c r="D173" t="s">
        <v>387</v>
      </c>
      <c r="E173">
        <v>7</v>
      </c>
      <c r="F173">
        <v>55.45</v>
      </c>
      <c r="G173" t="s">
        <v>15</v>
      </c>
      <c r="H173" t="s">
        <v>16</v>
      </c>
      <c r="I173" t="s">
        <v>17</v>
      </c>
      <c r="J173" t="b">
        <v>1</v>
      </c>
      <c r="K173" t="s">
        <v>80</v>
      </c>
      <c r="L173" t="s">
        <v>19</v>
      </c>
      <c r="M173" t="s">
        <v>43</v>
      </c>
      <c r="N173">
        <f>YEAR(Table1[[#This Row],[Date]])</f>
        <v>2023</v>
      </c>
      <c r="O173" t="str">
        <f>TEXT(Table1[[#This Row],[Date]],"mmm")</f>
        <v>Feb</v>
      </c>
      <c r="P173" t="str">
        <f>IF(Table1[[#This Row],[Total_Cost]]&lt;25,"low",IF(Table1[[#This Row],[Total_Cost]]&lt;60,"medium","high"))</f>
        <v>medium</v>
      </c>
      <c r="Q173" t="str">
        <f>IF(Table1[[#This Row],[Discount_Applied]]=TRUE,"discount applied","no discount")</f>
        <v>discount applied</v>
      </c>
    </row>
    <row r="174" spans="1:17" x14ac:dyDescent="0.3">
      <c r="A174">
        <v>1000000172</v>
      </c>
      <c r="B174" s="1">
        <v>44435.912719907406</v>
      </c>
      <c r="C174" t="s">
        <v>388</v>
      </c>
      <c r="D174" t="s">
        <v>389</v>
      </c>
      <c r="E174">
        <v>9</v>
      </c>
      <c r="F174">
        <v>43.37</v>
      </c>
      <c r="G174" t="s">
        <v>31</v>
      </c>
      <c r="H174" t="s">
        <v>70</v>
      </c>
      <c r="I174" t="s">
        <v>37</v>
      </c>
      <c r="J174" t="b">
        <v>1</v>
      </c>
      <c r="K174" t="s">
        <v>18</v>
      </c>
      <c r="L174" t="s">
        <v>52</v>
      </c>
      <c r="M174" t="s">
        <v>43</v>
      </c>
      <c r="N174">
        <f>YEAR(Table1[[#This Row],[Date]])</f>
        <v>2021</v>
      </c>
      <c r="O174" t="str">
        <f>TEXT(Table1[[#This Row],[Date]],"mmm")</f>
        <v>Aug</v>
      </c>
      <c r="P174" t="str">
        <f>IF(Table1[[#This Row],[Total_Cost]]&lt;25,"low",IF(Table1[[#This Row],[Total_Cost]]&lt;60,"medium","high"))</f>
        <v>medium</v>
      </c>
      <c r="Q174" t="str">
        <f>IF(Table1[[#This Row],[Discount_Applied]]=TRUE,"discount applied","no discount")</f>
        <v>discount applied</v>
      </c>
    </row>
    <row r="175" spans="1:17" x14ac:dyDescent="0.3">
      <c r="A175">
        <v>1000000173</v>
      </c>
      <c r="B175" s="1">
        <v>44146.982164351852</v>
      </c>
      <c r="C175" t="s">
        <v>390</v>
      </c>
      <c r="D175" t="s">
        <v>391</v>
      </c>
      <c r="E175">
        <v>7</v>
      </c>
      <c r="F175">
        <v>51.27</v>
      </c>
      <c r="G175" t="s">
        <v>15</v>
      </c>
      <c r="H175" t="s">
        <v>96</v>
      </c>
      <c r="I175" t="s">
        <v>59</v>
      </c>
      <c r="J175" t="b">
        <v>0</v>
      </c>
      <c r="K175" t="s">
        <v>62</v>
      </c>
      <c r="L175" t="s">
        <v>52</v>
      </c>
      <c r="M175" t="s">
        <v>20</v>
      </c>
      <c r="N175">
        <f>YEAR(Table1[[#This Row],[Date]])</f>
        <v>2020</v>
      </c>
      <c r="O175" t="str">
        <f>TEXT(Table1[[#This Row],[Date]],"mmm")</f>
        <v>Nov</v>
      </c>
      <c r="P175" t="str">
        <f>IF(Table1[[#This Row],[Total_Cost]]&lt;25,"low",IF(Table1[[#This Row],[Total_Cost]]&lt;60,"medium","high"))</f>
        <v>medium</v>
      </c>
      <c r="Q175" t="str">
        <f>IF(Table1[[#This Row],[Discount_Applied]]=TRUE,"discount applied","no discount")</f>
        <v>no discount</v>
      </c>
    </row>
    <row r="176" spans="1:17" x14ac:dyDescent="0.3">
      <c r="A176">
        <v>1000000174</v>
      </c>
      <c r="B176" s="1">
        <v>44302.943472222221</v>
      </c>
      <c r="C176" t="s">
        <v>392</v>
      </c>
      <c r="D176" t="s">
        <v>393</v>
      </c>
      <c r="E176">
        <v>3</v>
      </c>
      <c r="F176">
        <v>34.82</v>
      </c>
      <c r="G176" t="s">
        <v>23</v>
      </c>
      <c r="H176" t="s">
        <v>70</v>
      </c>
      <c r="I176" t="s">
        <v>59</v>
      </c>
      <c r="J176" t="b">
        <v>1</v>
      </c>
      <c r="K176" t="s">
        <v>51</v>
      </c>
      <c r="L176" t="s">
        <v>52</v>
      </c>
      <c r="M176" t="s">
        <v>20</v>
      </c>
      <c r="N176">
        <f>YEAR(Table1[[#This Row],[Date]])</f>
        <v>2021</v>
      </c>
      <c r="O176" t="str">
        <f>TEXT(Table1[[#This Row],[Date]],"mmm")</f>
        <v>Apr</v>
      </c>
      <c r="P176" t="str">
        <f>IF(Table1[[#This Row],[Total_Cost]]&lt;25,"low",IF(Table1[[#This Row],[Total_Cost]]&lt;60,"medium","high"))</f>
        <v>medium</v>
      </c>
      <c r="Q176" t="str">
        <f>IF(Table1[[#This Row],[Discount_Applied]]=TRUE,"discount applied","no discount")</f>
        <v>discount applied</v>
      </c>
    </row>
    <row r="177" spans="1:17" x14ac:dyDescent="0.3">
      <c r="A177">
        <v>1000000175</v>
      </c>
      <c r="B177" s="1">
        <v>45389.880648148152</v>
      </c>
      <c r="C177" t="s">
        <v>394</v>
      </c>
      <c r="D177" t="s">
        <v>395</v>
      </c>
      <c r="E177">
        <v>2</v>
      </c>
      <c r="F177">
        <v>90.68</v>
      </c>
      <c r="G177" t="s">
        <v>23</v>
      </c>
      <c r="H177" t="s">
        <v>70</v>
      </c>
      <c r="I177" t="s">
        <v>59</v>
      </c>
      <c r="J177" t="b">
        <v>1</v>
      </c>
      <c r="K177" t="s">
        <v>87</v>
      </c>
      <c r="L177" t="s">
        <v>19</v>
      </c>
      <c r="M177" t="s">
        <v>28</v>
      </c>
      <c r="N177">
        <f>YEAR(Table1[[#This Row],[Date]])</f>
        <v>2024</v>
      </c>
      <c r="O177" t="str">
        <f>TEXT(Table1[[#This Row],[Date]],"mmm")</f>
        <v>Apr</v>
      </c>
      <c r="P177" t="str">
        <f>IF(Table1[[#This Row],[Total_Cost]]&lt;25,"low",IF(Table1[[#This Row],[Total_Cost]]&lt;60,"medium","high"))</f>
        <v>high</v>
      </c>
      <c r="Q177" t="str">
        <f>IF(Table1[[#This Row],[Discount_Applied]]=TRUE,"discount applied","no discount")</f>
        <v>discount applied</v>
      </c>
    </row>
    <row r="178" spans="1:17" x14ac:dyDescent="0.3">
      <c r="A178">
        <v>1000000176</v>
      </c>
      <c r="B178" s="1">
        <v>44949.313356481478</v>
      </c>
      <c r="C178" t="s">
        <v>396</v>
      </c>
      <c r="D178" t="s">
        <v>397</v>
      </c>
      <c r="E178">
        <v>8</v>
      </c>
      <c r="F178">
        <v>85.09</v>
      </c>
      <c r="G178" t="s">
        <v>41</v>
      </c>
      <c r="H178" t="s">
        <v>70</v>
      </c>
      <c r="I178" t="s">
        <v>17</v>
      </c>
      <c r="J178" t="b">
        <v>1</v>
      </c>
      <c r="K178" t="s">
        <v>18</v>
      </c>
      <c r="L178" t="s">
        <v>27</v>
      </c>
      <c r="M178" t="s">
        <v>43</v>
      </c>
      <c r="N178">
        <f>YEAR(Table1[[#This Row],[Date]])</f>
        <v>2023</v>
      </c>
      <c r="O178" t="str">
        <f>TEXT(Table1[[#This Row],[Date]],"mmm")</f>
        <v>Jan</v>
      </c>
      <c r="P178" t="str">
        <f>IF(Table1[[#This Row],[Total_Cost]]&lt;25,"low",IF(Table1[[#This Row],[Total_Cost]]&lt;60,"medium","high"))</f>
        <v>high</v>
      </c>
      <c r="Q178" t="str">
        <f>IF(Table1[[#This Row],[Discount_Applied]]=TRUE,"discount applied","no discount")</f>
        <v>discount applied</v>
      </c>
    </row>
    <row r="179" spans="1:17" x14ac:dyDescent="0.3">
      <c r="A179">
        <v>1000000177</v>
      </c>
      <c r="B179" s="1">
        <v>44878.856562499997</v>
      </c>
      <c r="C179" t="s">
        <v>398</v>
      </c>
      <c r="D179" t="s">
        <v>399</v>
      </c>
      <c r="E179">
        <v>1</v>
      </c>
      <c r="F179">
        <v>31.59</v>
      </c>
      <c r="G179" t="s">
        <v>31</v>
      </c>
      <c r="H179" t="s">
        <v>36</v>
      </c>
      <c r="I179" t="s">
        <v>37</v>
      </c>
      <c r="J179" t="b">
        <v>0</v>
      </c>
      <c r="K179" t="s">
        <v>80</v>
      </c>
      <c r="L179" t="s">
        <v>19</v>
      </c>
      <c r="M179" t="s">
        <v>20</v>
      </c>
      <c r="N179">
        <f>YEAR(Table1[[#This Row],[Date]])</f>
        <v>2022</v>
      </c>
      <c r="O179" t="str">
        <f>TEXT(Table1[[#This Row],[Date]],"mmm")</f>
        <v>Nov</v>
      </c>
      <c r="P179" t="str">
        <f>IF(Table1[[#This Row],[Total_Cost]]&lt;25,"low",IF(Table1[[#This Row],[Total_Cost]]&lt;60,"medium","high"))</f>
        <v>medium</v>
      </c>
      <c r="Q179" t="str">
        <f>IF(Table1[[#This Row],[Discount_Applied]]=TRUE,"discount applied","no discount")</f>
        <v>no discount</v>
      </c>
    </row>
    <row r="180" spans="1:17" x14ac:dyDescent="0.3">
      <c r="A180">
        <v>1000000178</v>
      </c>
      <c r="B180" s="1">
        <v>45368.024050925924</v>
      </c>
      <c r="C180" t="s">
        <v>400</v>
      </c>
      <c r="D180" t="s">
        <v>352</v>
      </c>
      <c r="E180">
        <v>8</v>
      </c>
      <c r="F180">
        <v>75.06</v>
      </c>
      <c r="G180" t="s">
        <v>41</v>
      </c>
      <c r="H180" t="s">
        <v>36</v>
      </c>
      <c r="I180" t="s">
        <v>25</v>
      </c>
      <c r="J180" t="b">
        <v>0</v>
      </c>
      <c r="K180" t="s">
        <v>26</v>
      </c>
      <c r="L180" t="s">
        <v>19</v>
      </c>
      <c r="M180" t="s">
        <v>43</v>
      </c>
      <c r="N180">
        <f>YEAR(Table1[[#This Row],[Date]])</f>
        <v>2024</v>
      </c>
      <c r="O180" t="str">
        <f>TEXT(Table1[[#This Row],[Date]],"mmm")</f>
        <v>Mar</v>
      </c>
      <c r="P180" t="str">
        <f>IF(Table1[[#This Row],[Total_Cost]]&lt;25,"low",IF(Table1[[#This Row],[Total_Cost]]&lt;60,"medium","high"))</f>
        <v>high</v>
      </c>
      <c r="Q180" t="str">
        <f>IF(Table1[[#This Row],[Discount_Applied]]=TRUE,"discount applied","no discount")</f>
        <v>no discount</v>
      </c>
    </row>
    <row r="181" spans="1:17" x14ac:dyDescent="0.3">
      <c r="A181">
        <v>1000000179</v>
      </c>
      <c r="B181" s="1">
        <v>44546.814212962963</v>
      </c>
      <c r="C181" t="s">
        <v>401</v>
      </c>
      <c r="D181" t="s">
        <v>402</v>
      </c>
      <c r="E181">
        <v>5</v>
      </c>
      <c r="F181">
        <v>45.77</v>
      </c>
      <c r="G181" t="s">
        <v>41</v>
      </c>
      <c r="H181" t="s">
        <v>24</v>
      </c>
      <c r="I181" t="s">
        <v>37</v>
      </c>
      <c r="J181" t="b">
        <v>1</v>
      </c>
      <c r="K181" t="s">
        <v>62</v>
      </c>
      <c r="L181" t="s">
        <v>27</v>
      </c>
      <c r="M181" t="s">
        <v>28</v>
      </c>
      <c r="N181">
        <f>YEAR(Table1[[#This Row],[Date]])</f>
        <v>2021</v>
      </c>
      <c r="O181" t="str">
        <f>TEXT(Table1[[#This Row],[Date]],"mmm")</f>
        <v>Dec</v>
      </c>
      <c r="P181" t="str">
        <f>IF(Table1[[#This Row],[Total_Cost]]&lt;25,"low",IF(Table1[[#This Row],[Total_Cost]]&lt;60,"medium","high"))</f>
        <v>medium</v>
      </c>
      <c r="Q181" t="str">
        <f>IF(Table1[[#This Row],[Discount_Applied]]=TRUE,"discount applied","no discount")</f>
        <v>discount applied</v>
      </c>
    </row>
    <row r="182" spans="1:17" x14ac:dyDescent="0.3">
      <c r="A182">
        <v>1000000180</v>
      </c>
      <c r="B182" s="1">
        <v>44368.241331018522</v>
      </c>
      <c r="C182" t="s">
        <v>403</v>
      </c>
      <c r="D182" t="s">
        <v>404</v>
      </c>
      <c r="E182">
        <v>3</v>
      </c>
      <c r="F182">
        <v>33.17</v>
      </c>
      <c r="G182" t="s">
        <v>15</v>
      </c>
      <c r="H182" t="s">
        <v>16</v>
      </c>
      <c r="I182" t="s">
        <v>46</v>
      </c>
      <c r="J182" t="b">
        <v>0</v>
      </c>
      <c r="K182" t="s">
        <v>47</v>
      </c>
      <c r="L182" t="s">
        <v>38</v>
      </c>
      <c r="M182" t="s">
        <v>28</v>
      </c>
      <c r="N182">
        <f>YEAR(Table1[[#This Row],[Date]])</f>
        <v>2021</v>
      </c>
      <c r="O182" t="str">
        <f>TEXT(Table1[[#This Row],[Date]],"mmm")</f>
        <v>Jun</v>
      </c>
      <c r="P182" t="str">
        <f>IF(Table1[[#This Row],[Total_Cost]]&lt;25,"low",IF(Table1[[#This Row],[Total_Cost]]&lt;60,"medium","high"))</f>
        <v>medium</v>
      </c>
      <c r="Q182" t="str">
        <f>IF(Table1[[#This Row],[Discount_Applied]]=TRUE,"discount applied","no discount")</f>
        <v>no discount</v>
      </c>
    </row>
    <row r="183" spans="1:17" x14ac:dyDescent="0.3">
      <c r="A183">
        <v>1000000181</v>
      </c>
      <c r="B183" s="1">
        <v>44170.079780092594</v>
      </c>
      <c r="C183" t="s">
        <v>405</v>
      </c>
      <c r="D183" t="s">
        <v>406</v>
      </c>
      <c r="E183">
        <v>10</v>
      </c>
      <c r="F183">
        <v>12.81</v>
      </c>
      <c r="G183" t="s">
        <v>41</v>
      </c>
      <c r="H183" t="s">
        <v>36</v>
      </c>
      <c r="I183" t="s">
        <v>59</v>
      </c>
      <c r="J183" t="b">
        <v>1</v>
      </c>
      <c r="K183" t="s">
        <v>42</v>
      </c>
      <c r="L183" t="s">
        <v>19</v>
      </c>
      <c r="M183" t="s">
        <v>28</v>
      </c>
      <c r="N183">
        <f>YEAR(Table1[[#This Row],[Date]])</f>
        <v>2020</v>
      </c>
      <c r="O183" t="str">
        <f>TEXT(Table1[[#This Row],[Date]],"mmm")</f>
        <v>Dec</v>
      </c>
      <c r="P183" t="str">
        <f>IF(Table1[[#This Row],[Total_Cost]]&lt;25,"low",IF(Table1[[#This Row],[Total_Cost]]&lt;60,"medium","high"))</f>
        <v>low</v>
      </c>
      <c r="Q183" t="str">
        <f>IF(Table1[[#This Row],[Discount_Applied]]=TRUE,"discount applied","no discount")</f>
        <v>discount applied</v>
      </c>
    </row>
    <row r="184" spans="1:17" x14ac:dyDescent="0.3">
      <c r="A184">
        <v>1000000182</v>
      </c>
      <c r="B184" s="1">
        <v>44153.351921296293</v>
      </c>
      <c r="C184" t="s">
        <v>407</v>
      </c>
      <c r="D184" t="s">
        <v>408</v>
      </c>
      <c r="E184">
        <v>2</v>
      </c>
      <c r="F184">
        <v>74.81</v>
      </c>
      <c r="G184" t="s">
        <v>31</v>
      </c>
      <c r="H184" t="s">
        <v>65</v>
      </c>
      <c r="I184" t="s">
        <v>46</v>
      </c>
      <c r="J184" t="b">
        <v>1</v>
      </c>
      <c r="K184" t="s">
        <v>42</v>
      </c>
      <c r="L184" t="s">
        <v>27</v>
      </c>
      <c r="M184" t="s">
        <v>43</v>
      </c>
      <c r="N184">
        <f>YEAR(Table1[[#This Row],[Date]])</f>
        <v>2020</v>
      </c>
      <c r="O184" t="str">
        <f>TEXT(Table1[[#This Row],[Date]],"mmm")</f>
        <v>Nov</v>
      </c>
      <c r="P184" t="str">
        <f>IF(Table1[[#This Row],[Total_Cost]]&lt;25,"low",IF(Table1[[#This Row],[Total_Cost]]&lt;60,"medium","high"))</f>
        <v>high</v>
      </c>
      <c r="Q184" t="str">
        <f>IF(Table1[[#This Row],[Discount_Applied]]=TRUE,"discount applied","no discount")</f>
        <v>discount applied</v>
      </c>
    </row>
    <row r="185" spans="1:17" x14ac:dyDescent="0.3">
      <c r="A185">
        <v>1000000183</v>
      </c>
      <c r="B185" s="1">
        <v>44561.054930555554</v>
      </c>
      <c r="C185" t="s">
        <v>409</v>
      </c>
      <c r="D185" t="s">
        <v>410</v>
      </c>
      <c r="E185">
        <v>1</v>
      </c>
      <c r="F185">
        <v>74.53</v>
      </c>
      <c r="G185" t="s">
        <v>41</v>
      </c>
      <c r="H185" t="s">
        <v>24</v>
      </c>
      <c r="I185" t="s">
        <v>33</v>
      </c>
      <c r="J185" t="b">
        <v>0</v>
      </c>
      <c r="K185" t="s">
        <v>62</v>
      </c>
      <c r="L185" t="s">
        <v>27</v>
      </c>
      <c r="M185" t="s">
        <v>28</v>
      </c>
      <c r="N185">
        <f>YEAR(Table1[[#This Row],[Date]])</f>
        <v>2021</v>
      </c>
      <c r="O185" t="str">
        <f>TEXT(Table1[[#This Row],[Date]],"mmm")</f>
        <v>Dec</v>
      </c>
      <c r="P185" t="str">
        <f>IF(Table1[[#This Row],[Total_Cost]]&lt;25,"low",IF(Table1[[#This Row],[Total_Cost]]&lt;60,"medium","high"))</f>
        <v>high</v>
      </c>
      <c r="Q185" t="str">
        <f>IF(Table1[[#This Row],[Discount_Applied]]=TRUE,"discount applied","no discount")</f>
        <v>no discount</v>
      </c>
    </row>
    <row r="186" spans="1:17" x14ac:dyDescent="0.3">
      <c r="A186">
        <v>1000000184</v>
      </c>
      <c r="B186" s="1">
        <v>44629.18855324074</v>
      </c>
      <c r="C186" t="s">
        <v>411</v>
      </c>
      <c r="D186" t="s">
        <v>412</v>
      </c>
      <c r="E186">
        <v>6</v>
      </c>
      <c r="F186">
        <v>6.4</v>
      </c>
      <c r="G186" t="s">
        <v>15</v>
      </c>
      <c r="H186" t="s">
        <v>129</v>
      </c>
      <c r="I186" t="s">
        <v>17</v>
      </c>
      <c r="J186" t="b">
        <v>1</v>
      </c>
      <c r="K186" t="s">
        <v>26</v>
      </c>
      <c r="L186" t="s">
        <v>19</v>
      </c>
      <c r="M186" t="s">
        <v>43</v>
      </c>
      <c r="N186">
        <f>YEAR(Table1[[#This Row],[Date]])</f>
        <v>2022</v>
      </c>
      <c r="O186" t="str">
        <f>TEXT(Table1[[#This Row],[Date]],"mmm")</f>
        <v>Mar</v>
      </c>
      <c r="P186" t="str">
        <f>IF(Table1[[#This Row],[Total_Cost]]&lt;25,"low",IF(Table1[[#This Row],[Total_Cost]]&lt;60,"medium","high"))</f>
        <v>low</v>
      </c>
      <c r="Q186" t="str">
        <f>IF(Table1[[#This Row],[Discount_Applied]]=TRUE,"discount applied","no discount")</f>
        <v>discount applied</v>
      </c>
    </row>
    <row r="187" spans="1:17" x14ac:dyDescent="0.3">
      <c r="A187">
        <v>1000000185</v>
      </c>
      <c r="B187" s="1">
        <v>43921.224074074074</v>
      </c>
      <c r="C187" t="s">
        <v>413</v>
      </c>
      <c r="D187" t="s">
        <v>414</v>
      </c>
      <c r="E187">
        <v>9</v>
      </c>
      <c r="F187">
        <v>80.319999999999993</v>
      </c>
      <c r="G187" t="s">
        <v>15</v>
      </c>
      <c r="H187" t="s">
        <v>16</v>
      </c>
      <c r="I187" t="s">
        <v>17</v>
      </c>
      <c r="J187" t="b">
        <v>1</v>
      </c>
      <c r="K187" t="s">
        <v>18</v>
      </c>
      <c r="L187" t="s">
        <v>38</v>
      </c>
      <c r="M187" t="s">
        <v>20</v>
      </c>
      <c r="N187">
        <f>YEAR(Table1[[#This Row],[Date]])</f>
        <v>2020</v>
      </c>
      <c r="O187" t="str">
        <f>TEXT(Table1[[#This Row],[Date]],"mmm")</f>
        <v>Mar</v>
      </c>
      <c r="P187" t="str">
        <f>IF(Table1[[#This Row],[Total_Cost]]&lt;25,"low",IF(Table1[[#This Row],[Total_Cost]]&lt;60,"medium","high"))</f>
        <v>high</v>
      </c>
      <c r="Q187" t="str">
        <f>IF(Table1[[#This Row],[Discount_Applied]]=TRUE,"discount applied","no discount")</f>
        <v>discount applied</v>
      </c>
    </row>
    <row r="188" spans="1:17" x14ac:dyDescent="0.3">
      <c r="A188">
        <v>1000000186</v>
      </c>
      <c r="B188" s="1">
        <v>44567.343657407408</v>
      </c>
      <c r="C188" t="s">
        <v>415</v>
      </c>
      <c r="D188" t="s">
        <v>416</v>
      </c>
      <c r="E188">
        <v>3</v>
      </c>
      <c r="F188">
        <v>83.91</v>
      </c>
      <c r="G188" t="s">
        <v>23</v>
      </c>
      <c r="H188" t="s">
        <v>24</v>
      </c>
      <c r="I188" t="s">
        <v>37</v>
      </c>
      <c r="J188" t="b">
        <v>1</v>
      </c>
      <c r="K188" t="s">
        <v>18</v>
      </c>
      <c r="L188" t="s">
        <v>38</v>
      </c>
      <c r="M188" t="s">
        <v>28</v>
      </c>
      <c r="N188">
        <f>YEAR(Table1[[#This Row],[Date]])</f>
        <v>2022</v>
      </c>
      <c r="O188" t="str">
        <f>TEXT(Table1[[#This Row],[Date]],"mmm")</f>
        <v>Jan</v>
      </c>
      <c r="P188" t="str">
        <f>IF(Table1[[#This Row],[Total_Cost]]&lt;25,"low",IF(Table1[[#This Row],[Total_Cost]]&lt;60,"medium","high"))</f>
        <v>high</v>
      </c>
      <c r="Q188" t="str">
        <f>IF(Table1[[#This Row],[Discount_Applied]]=TRUE,"discount applied","no discount")</f>
        <v>discount applied</v>
      </c>
    </row>
    <row r="189" spans="1:17" x14ac:dyDescent="0.3">
      <c r="A189">
        <v>1000000187</v>
      </c>
      <c r="B189" s="1">
        <v>44819.878958333335</v>
      </c>
      <c r="C189" t="s">
        <v>417</v>
      </c>
      <c r="D189" t="s">
        <v>418</v>
      </c>
      <c r="E189">
        <v>5</v>
      </c>
      <c r="F189">
        <v>58.92</v>
      </c>
      <c r="G189" t="s">
        <v>15</v>
      </c>
      <c r="H189" t="s">
        <v>96</v>
      </c>
      <c r="I189" t="s">
        <v>46</v>
      </c>
      <c r="J189" t="b">
        <v>0</v>
      </c>
      <c r="K189" t="s">
        <v>47</v>
      </c>
      <c r="L189" t="s">
        <v>27</v>
      </c>
      <c r="M189" t="s">
        <v>20</v>
      </c>
      <c r="N189">
        <f>YEAR(Table1[[#This Row],[Date]])</f>
        <v>2022</v>
      </c>
      <c r="O189" t="str">
        <f>TEXT(Table1[[#This Row],[Date]],"mmm")</f>
        <v>Sep</v>
      </c>
      <c r="P189" t="str">
        <f>IF(Table1[[#This Row],[Total_Cost]]&lt;25,"low",IF(Table1[[#This Row],[Total_Cost]]&lt;60,"medium","high"))</f>
        <v>medium</v>
      </c>
      <c r="Q189" t="str">
        <f>IF(Table1[[#This Row],[Discount_Applied]]=TRUE,"discount applied","no discount")</f>
        <v>no discount</v>
      </c>
    </row>
    <row r="190" spans="1:17" x14ac:dyDescent="0.3">
      <c r="A190">
        <v>1000000188</v>
      </c>
      <c r="B190" s="1">
        <v>44817.249189814815</v>
      </c>
      <c r="C190" t="s">
        <v>419</v>
      </c>
      <c r="D190" t="s">
        <v>420</v>
      </c>
      <c r="E190">
        <v>5</v>
      </c>
      <c r="F190">
        <v>97.89</v>
      </c>
      <c r="G190" t="s">
        <v>15</v>
      </c>
      <c r="H190" t="s">
        <v>16</v>
      </c>
      <c r="I190" t="s">
        <v>33</v>
      </c>
      <c r="J190" t="b">
        <v>1</v>
      </c>
      <c r="K190" t="s">
        <v>62</v>
      </c>
      <c r="L190" t="s">
        <v>19</v>
      </c>
      <c r="M190" t="s">
        <v>43</v>
      </c>
      <c r="N190">
        <f>YEAR(Table1[[#This Row],[Date]])</f>
        <v>2022</v>
      </c>
      <c r="O190" t="str">
        <f>TEXT(Table1[[#This Row],[Date]],"mmm")</f>
        <v>Sep</v>
      </c>
      <c r="P190" t="str">
        <f>IF(Table1[[#This Row],[Total_Cost]]&lt;25,"low",IF(Table1[[#This Row],[Total_Cost]]&lt;60,"medium","high"))</f>
        <v>high</v>
      </c>
      <c r="Q190" t="str">
        <f>IF(Table1[[#This Row],[Discount_Applied]]=TRUE,"discount applied","no discount")</f>
        <v>discount applied</v>
      </c>
    </row>
    <row r="191" spans="1:17" x14ac:dyDescent="0.3">
      <c r="A191">
        <v>1000000189</v>
      </c>
      <c r="B191" s="1">
        <v>44283.975937499999</v>
      </c>
      <c r="C191" t="s">
        <v>421</v>
      </c>
      <c r="D191" t="s">
        <v>40</v>
      </c>
      <c r="E191">
        <v>6</v>
      </c>
      <c r="F191">
        <v>54.23</v>
      </c>
      <c r="G191" t="s">
        <v>31</v>
      </c>
      <c r="H191" t="s">
        <v>70</v>
      </c>
      <c r="I191" t="s">
        <v>59</v>
      </c>
      <c r="J191" t="b">
        <v>0</v>
      </c>
      <c r="K191" t="s">
        <v>47</v>
      </c>
      <c r="L191" t="s">
        <v>19</v>
      </c>
      <c r="M191" t="s">
        <v>28</v>
      </c>
      <c r="N191">
        <f>YEAR(Table1[[#This Row],[Date]])</f>
        <v>2021</v>
      </c>
      <c r="O191" t="str">
        <f>TEXT(Table1[[#This Row],[Date]],"mmm")</f>
        <v>Mar</v>
      </c>
      <c r="P191" t="str">
        <f>IF(Table1[[#This Row],[Total_Cost]]&lt;25,"low",IF(Table1[[#This Row],[Total_Cost]]&lt;60,"medium","high"))</f>
        <v>medium</v>
      </c>
      <c r="Q191" t="str">
        <f>IF(Table1[[#This Row],[Discount_Applied]]=TRUE,"discount applied","no discount")</f>
        <v>no discount</v>
      </c>
    </row>
    <row r="192" spans="1:17" x14ac:dyDescent="0.3">
      <c r="A192">
        <v>1000000190</v>
      </c>
      <c r="B192" s="1">
        <v>45305.417708333334</v>
      </c>
      <c r="C192" t="s">
        <v>422</v>
      </c>
      <c r="D192" t="s">
        <v>423</v>
      </c>
      <c r="E192">
        <v>5</v>
      </c>
      <c r="F192">
        <v>5.78</v>
      </c>
      <c r="G192" t="s">
        <v>15</v>
      </c>
      <c r="H192" t="s">
        <v>36</v>
      </c>
      <c r="I192" t="s">
        <v>25</v>
      </c>
      <c r="J192" t="b">
        <v>0</v>
      </c>
      <c r="K192" t="s">
        <v>51</v>
      </c>
      <c r="L192" t="s">
        <v>52</v>
      </c>
      <c r="M192" t="s">
        <v>28</v>
      </c>
      <c r="N192">
        <f>YEAR(Table1[[#This Row],[Date]])</f>
        <v>2024</v>
      </c>
      <c r="O192" t="str">
        <f>TEXT(Table1[[#This Row],[Date]],"mmm")</f>
        <v>Jan</v>
      </c>
      <c r="P192" t="str">
        <f>IF(Table1[[#This Row],[Total_Cost]]&lt;25,"low",IF(Table1[[#This Row],[Total_Cost]]&lt;60,"medium","high"))</f>
        <v>low</v>
      </c>
      <c r="Q192" t="str">
        <f>IF(Table1[[#This Row],[Discount_Applied]]=TRUE,"discount applied","no discount")</f>
        <v>no discount</v>
      </c>
    </row>
    <row r="193" spans="1:17" x14ac:dyDescent="0.3">
      <c r="A193">
        <v>1000000191</v>
      </c>
      <c r="B193" s="1">
        <v>43872.48709490741</v>
      </c>
      <c r="C193" t="s">
        <v>424</v>
      </c>
      <c r="D193" t="s">
        <v>425</v>
      </c>
      <c r="E193">
        <v>9</v>
      </c>
      <c r="F193">
        <v>62.26</v>
      </c>
      <c r="G193" t="s">
        <v>41</v>
      </c>
      <c r="H193" t="s">
        <v>24</v>
      </c>
      <c r="I193" t="s">
        <v>25</v>
      </c>
      <c r="J193" t="b">
        <v>1</v>
      </c>
      <c r="K193" t="s">
        <v>47</v>
      </c>
      <c r="L193" t="s">
        <v>27</v>
      </c>
      <c r="M193" t="s">
        <v>20</v>
      </c>
      <c r="N193">
        <f>YEAR(Table1[[#This Row],[Date]])</f>
        <v>2020</v>
      </c>
      <c r="O193" t="str">
        <f>TEXT(Table1[[#This Row],[Date]],"mmm")</f>
        <v>Feb</v>
      </c>
      <c r="P193" t="str">
        <f>IF(Table1[[#This Row],[Total_Cost]]&lt;25,"low",IF(Table1[[#This Row],[Total_Cost]]&lt;60,"medium","high"))</f>
        <v>high</v>
      </c>
      <c r="Q193" t="str">
        <f>IF(Table1[[#This Row],[Discount_Applied]]=TRUE,"discount applied","no discount")</f>
        <v>discount applied</v>
      </c>
    </row>
    <row r="194" spans="1:17" x14ac:dyDescent="0.3">
      <c r="A194">
        <v>1000000192</v>
      </c>
      <c r="B194" s="1">
        <v>45408.011493055557</v>
      </c>
      <c r="C194" t="s">
        <v>426</v>
      </c>
      <c r="D194" t="s">
        <v>427</v>
      </c>
      <c r="E194">
        <v>1</v>
      </c>
      <c r="F194">
        <v>99.16</v>
      </c>
      <c r="G194" t="s">
        <v>41</v>
      </c>
      <c r="H194" t="s">
        <v>32</v>
      </c>
      <c r="I194" t="s">
        <v>17</v>
      </c>
      <c r="J194" t="b">
        <v>0</v>
      </c>
      <c r="K194" t="s">
        <v>47</v>
      </c>
      <c r="L194" t="s">
        <v>19</v>
      </c>
      <c r="M194" t="s">
        <v>20</v>
      </c>
      <c r="N194">
        <f>YEAR(Table1[[#This Row],[Date]])</f>
        <v>2024</v>
      </c>
      <c r="O194" t="str">
        <f>TEXT(Table1[[#This Row],[Date]],"mmm")</f>
        <v>Apr</v>
      </c>
      <c r="P194" t="str">
        <f>IF(Table1[[#This Row],[Total_Cost]]&lt;25,"low",IF(Table1[[#This Row],[Total_Cost]]&lt;60,"medium","high"))</f>
        <v>high</v>
      </c>
      <c r="Q194" t="str">
        <f>IF(Table1[[#This Row],[Discount_Applied]]=TRUE,"discount applied","no discount")</f>
        <v>no discount</v>
      </c>
    </row>
    <row r="195" spans="1:17" x14ac:dyDescent="0.3">
      <c r="A195">
        <v>1000000193</v>
      </c>
      <c r="B195" s="1">
        <v>44117.646168981482</v>
      </c>
      <c r="C195" t="s">
        <v>428</v>
      </c>
      <c r="D195" t="s">
        <v>429</v>
      </c>
      <c r="E195">
        <v>6</v>
      </c>
      <c r="F195">
        <v>32.229999999999997</v>
      </c>
      <c r="G195" t="s">
        <v>41</v>
      </c>
      <c r="H195" t="s">
        <v>50</v>
      </c>
      <c r="I195" t="s">
        <v>33</v>
      </c>
      <c r="J195" t="b">
        <v>1</v>
      </c>
      <c r="K195" t="s">
        <v>47</v>
      </c>
      <c r="L195" t="s">
        <v>27</v>
      </c>
      <c r="M195" t="s">
        <v>43</v>
      </c>
      <c r="N195">
        <f>YEAR(Table1[[#This Row],[Date]])</f>
        <v>2020</v>
      </c>
      <c r="O195" t="str">
        <f>TEXT(Table1[[#This Row],[Date]],"mmm")</f>
        <v>Oct</v>
      </c>
      <c r="P195" t="str">
        <f>IF(Table1[[#This Row],[Total_Cost]]&lt;25,"low",IF(Table1[[#This Row],[Total_Cost]]&lt;60,"medium","high"))</f>
        <v>medium</v>
      </c>
      <c r="Q195" t="str">
        <f>IF(Table1[[#This Row],[Discount_Applied]]=TRUE,"discount applied","no discount")</f>
        <v>discount applied</v>
      </c>
    </row>
    <row r="196" spans="1:17" x14ac:dyDescent="0.3">
      <c r="A196">
        <v>1000000194</v>
      </c>
      <c r="B196" s="1">
        <v>44036.261828703704</v>
      </c>
      <c r="C196" t="s">
        <v>430</v>
      </c>
      <c r="D196" t="s">
        <v>431</v>
      </c>
      <c r="E196">
        <v>10</v>
      </c>
      <c r="F196">
        <v>39.68</v>
      </c>
      <c r="G196" t="s">
        <v>23</v>
      </c>
      <c r="H196" t="s">
        <v>32</v>
      </c>
      <c r="I196" t="s">
        <v>37</v>
      </c>
      <c r="J196" t="b">
        <v>0</v>
      </c>
      <c r="K196" t="s">
        <v>80</v>
      </c>
      <c r="L196" t="s">
        <v>19</v>
      </c>
      <c r="M196" t="s">
        <v>20</v>
      </c>
      <c r="N196">
        <f>YEAR(Table1[[#This Row],[Date]])</f>
        <v>2020</v>
      </c>
      <c r="O196" t="str">
        <f>TEXT(Table1[[#This Row],[Date]],"mmm")</f>
        <v>Jul</v>
      </c>
      <c r="P196" t="str">
        <f>IF(Table1[[#This Row],[Total_Cost]]&lt;25,"low",IF(Table1[[#This Row],[Total_Cost]]&lt;60,"medium","high"))</f>
        <v>medium</v>
      </c>
      <c r="Q196" t="str">
        <f>IF(Table1[[#This Row],[Discount_Applied]]=TRUE,"discount applied","no discount")</f>
        <v>no discount</v>
      </c>
    </row>
    <row r="197" spans="1:17" x14ac:dyDescent="0.3">
      <c r="A197">
        <v>1000000195</v>
      </c>
      <c r="B197" s="1">
        <v>45017.596724537034</v>
      </c>
      <c r="C197" t="s">
        <v>432</v>
      </c>
      <c r="D197" t="s">
        <v>433</v>
      </c>
      <c r="E197">
        <v>8</v>
      </c>
      <c r="F197">
        <v>41.12</v>
      </c>
      <c r="G197" t="s">
        <v>15</v>
      </c>
      <c r="H197" t="s">
        <v>77</v>
      </c>
      <c r="I197" t="s">
        <v>46</v>
      </c>
      <c r="J197" t="b">
        <v>0</v>
      </c>
      <c r="K197" t="s">
        <v>51</v>
      </c>
      <c r="L197" t="s">
        <v>27</v>
      </c>
      <c r="M197" t="s">
        <v>43</v>
      </c>
      <c r="N197">
        <f>YEAR(Table1[[#This Row],[Date]])</f>
        <v>2023</v>
      </c>
      <c r="O197" t="str">
        <f>TEXT(Table1[[#This Row],[Date]],"mmm")</f>
        <v>Apr</v>
      </c>
      <c r="P197" t="str">
        <f>IF(Table1[[#This Row],[Total_Cost]]&lt;25,"low",IF(Table1[[#This Row],[Total_Cost]]&lt;60,"medium","high"))</f>
        <v>medium</v>
      </c>
      <c r="Q197" t="str">
        <f>IF(Table1[[#This Row],[Discount_Applied]]=TRUE,"discount applied","no discount")</f>
        <v>no discount</v>
      </c>
    </row>
    <row r="198" spans="1:17" x14ac:dyDescent="0.3">
      <c r="A198">
        <v>1000000196</v>
      </c>
      <c r="B198" s="1">
        <v>44675.193564814814</v>
      </c>
      <c r="C198" t="s">
        <v>434</v>
      </c>
      <c r="D198" t="s">
        <v>435</v>
      </c>
      <c r="E198">
        <v>8</v>
      </c>
      <c r="F198">
        <v>36.119999999999997</v>
      </c>
      <c r="G198" t="s">
        <v>23</v>
      </c>
      <c r="H198" t="s">
        <v>96</v>
      </c>
      <c r="I198" t="s">
        <v>33</v>
      </c>
      <c r="J198" t="b">
        <v>0</v>
      </c>
      <c r="K198" t="s">
        <v>62</v>
      </c>
      <c r="L198" t="s">
        <v>19</v>
      </c>
      <c r="M198" t="s">
        <v>43</v>
      </c>
      <c r="N198">
        <f>YEAR(Table1[[#This Row],[Date]])</f>
        <v>2022</v>
      </c>
      <c r="O198" t="str">
        <f>TEXT(Table1[[#This Row],[Date]],"mmm")</f>
        <v>Apr</v>
      </c>
      <c r="P198" t="str">
        <f>IF(Table1[[#This Row],[Total_Cost]]&lt;25,"low",IF(Table1[[#This Row],[Total_Cost]]&lt;60,"medium","high"))</f>
        <v>medium</v>
      </c>
      <c r="Q198" t="str">
        <f>IF(Table1[[#This Row],[Discount_Applied]]=TRUE,"discount applied","no discount")</f>
        <v>no discount</v>
      </c>
    </row>
    <row r="199" spans="1:17" x14ac:dyDescent="0.3">
      <c r="A199">
        <v>1000000197</v>
      </c>
      <c r="B199" s="1">
        <v>44716.807118055556</v>
      </c>
      <c r="C199" t="s">
        <v>436</v>
      </c>
      <c r="D199" t="s">
        <v>437</v>
      </c>
      <c r="E199">
        <v>10</v>
      </c>
      <c r="F199">
        <v>84.07</v>
      </c>
      <c r="G199" t="s">
        <v>23</v>
      </c>
      <c r="H199" t="s">
        <v>77</v>
      </c>
      <c r="I199" t="s">
        <v>37</v>
      </c>
      <c r="J199" t="b">
        <v>0</v>
      </c>
      <c r="K199" t="s">
        <v>18</v>
      </c>
      <c r="L199" t="s">
        <v>38</v>
      </c>
      <c r="M199" t="s">
        <v>20</v>
      </c>
      <c r="N199">
        <f>YEAR(Table1[[#This Row],[Date]])</f>
        <v>2022</v>
      </c>
      <c r="O199" t="str">
        <f>TEXT(Table1[[#This Row],[Date]],"mmm")</f>
        <v>Jun</v>
      </c>
      <c r="P199" t="str">
        <f>IF(Table1[[#This Row],[Total_Cost]]&lt;25,"low",IF(Table1[[#This Row],[Total_Cost]]&lt;60,"medium","high"))</f>
        <v>high</v>
      </c>
      <c r="Q199" t="str">
        <f>IF(Table1[[#This Row],[Discount_Applied]]=TRUE,"discount applied","no discount")</f>
        <v>no discount</v>
      </c>
    </row>
    <row r="200" spans="1:17" x14ac:dyDescent="0.3">
      <c r="A200">
        <v>1000000198</v>
      </c>
      <c r="B200" s="1">
        <v>44222.240925925929</v>
      </c>
      <c r="C200" t="s">
        <v>438</v>
      </c>
      <c r="D200" t="s">
        <v>439</v>
      </c>
      <c r="E200">
        <v>4</v>
      </c>
      <c r="F200">
        <v>39.56</v>
      </c>
      <c r="G200" t="s">
        <v>41</v>
      </c>
      <c r="H200" t="s">
        <v>36</v>
      </c>
      <c r="I200" t="s">
        <v>46</v>
      </c>
      <c r="J200" t="b">
        <v>1</v>
      </c>
      <c r="K200" t="s">
        <v>47</v>
      </c>
      <c r="L200" t="s">
        <v>19</v>
      </c>
      <c r="M200" t="s">
        <v>20</v>
      </c>
      <c r="N200">
        <f>YEAR(Table1[[#This Row],[Date]])</f>
        <v>2021</v>
      </c>
      <c r="O200" t="str">
        <f>TEXT(Table1[[#This Row],[Date]],"mmm")</f>
        <v>Jan</v>
      </c>
      <c r="P200" t="str">
        <f>IF(Table1[[#This Row],[Total_Cost]]&lt;25,"low",IF(Table1[[#This Row],[Total_Cost]]&lt;60,"medium","high"))</f>
        <v>medium</v>
      </c>
      <c r="Q200" t="str">
        <f>IF(Table1[[#This Row],[Discount_Applied]]=TRUE,"discount applied","no discount")</f>
        <v>discount applied</v>
      </c>
    </row>
    <row r="201" spans="1:17" x14ac:dyDescent="0.3">
      <c r="A201">
        <v>1000000199</v>
      </c>
      <c r="B201" s="1">
        <v>44598.060844907406</v>
      </c>
      <c r="C201" t="s">
        <v>440</v>
      </c>
      <c r="D201" t="s">
        <v>441</v>
      </c>
      <c r="E201">
        <v>3</v>
      </c>
      <c r="F201">
        <v>77.39</v>
      </c>
      <c r="G201" t="s">
        <v>23</v>
      </c>
      <c r="H201" t="s">
        <v>77</v>
      </c>
      <c r="I201" t="s">
        <v>37</v>
      </c>
      <c r="J201" t="b">
        <v>1</v>
      </c>
      <c r="K201" t="s">
        <v>42</v>
      </c>
      <c r="L201" t="s">
        <v>19</v>
      </c>
      <c r="M201" t="s">
        <v>28</v>
      </c>
      <c r="N201">
        <f>YEAR(Table1[[#This Row],[Date]])</f>
        <v>2022</v>
      </c>
      <c r="O201" t="str">
        <f>TEXT(Table1[[#This Row],[Date]],"mmm")</f>
        <v>Feb</v>
      </c>
      <c r="P201" t="str">
        <f>IF(Table1[[#This Row],[Total_Cost]]&lt;25,"low",IF(Table1[[#This Row],[Total_Cost]]&lt;60,"medium","high"))</f>
        <v>high</v>
      </c>
      <c r="Q201" t="str">
        <f>IF(Table1[[#This Row],[Discount_Applied]]=TRUE,"discount applied","no discount")</f>
        <v>discount applied</v>
      </c>
    </row>
    <row r="202" spans="1:17" x14ac:dyDescent="0.3">
      <c r="A202">
        <v>1000000200</v>
      </c>
      <c r="B202" s="1">
        <v>45088.435324074075</v>
      </c>
      <c r="C202" t="s">
        <v>442</v>
      </c>
      <c r="D202" t="s">
        <v>443</v>
      </c>
      <c r="E202">
        <v>5</v>
      </c>
      <c r="F202">
        <v>83.36</v>
      </c>
      <c r="G202" t="s">
        <v>41</v>
      </c>
      <c r="H202" t="s">
        <v>50</v>
      </c>
      <c r="I202" t="s">
        <v>33</v>
      </c>
      <c r="J202" t="b">
        <v>1</v>
      </c>
      <c r="K202" t="s">
        <v>26</v>
      </c>
      <c r="L202" t="s">
        <v>27</v>
      </c>
      <c r="M202" t="s">
        <v>28</v>
      </c>
      <c r="N202">
        <f>YEAR(Table1[[#This Row],[Date]])</f>
        <v>2023</v>
      </c>
      <c r="O202" t="str">
        <f>TEXT(Table1[[#This Row],[Date]],"mmm")</f>
        <v>Jun</v>
      </c>
      <c r="P202" t="str">
        <f>IF(Table1[[#This Row],[Total_Cost]]&lt;25,"low",IF(Table1[[#This Row],[Total_Cost]]&lt;60,"medium","high"))</f>
        <v>high</v>
      </c>
      <c r="Q202" t="str">
        <f>IF(Table1[[#This Row],[Discount_Applied]]=TRUE,"discount applied","no discount")</f>
        <v>discount applied</v>
      </c>
    </row>
    <row r="203" spans="1:17" x14ac:dyDescent="0.3">
      <c r="A203">
        <v>1000000201</v>
      </c>
      <c r="B203" s="1">
        <v>45338.011932870373</v>
      </c>
      <c r="C203" t="s">
        <v>444</v>
      </c>
      <c r="D203" t="s">
        <v>445</v>
      </c>
      <c r="E203">
        <v>2</v>
      </c>
      <c r="F203">
        <v>26.81</v>
      </c>
      <c r="G203" t="s">
        <v>41</v>
      </c>
      <c r="H203" t="s">
        <v>32</v>
      </c>
      <c r="I203" t="s">
        <v>37</v>
      </c>
      <c r="J203" t="b">
        <v>0</v>
      </c>
      <c r="K203" t="s">
        <v>87</v>
      </c>
      <c r="L203" t="s">
        <v>19</v>
      </c>
      <c r="M203" t="s">
        <v>20</v>
      </c>
      <c r="N203">
        <f>YEAR(Table1[[#This Row],[Date]])</f>
        <v>2024</v>
      </c>
      <c r="O203" t="str">
        <f>TEXT(Table1[[#This Row],[Date]],"mmm")</f>
        <v>Feb</v>
      </c>
      <c r="P203" t="str">
        <f>IF(Table1[[#This Row],[Total_Cost]]&lt;25,"low",IF(Table1[[#This Row],[Total_Cost]]&lt;60,"medium","high"))</f>
        <v>medium</v>
      </c>
      <c r="Q203" t="str">
        <f>IF(Table1[[#This Row],[Discount_Applied]]=TRUE,"discount applied","no discount")</f>
        <v>no discount</v>
      </c>
    </row>
    <row r="204" spans="1:17" x14ac:dyDescent="0.3">
      <c r="A204">
        <v>1000000202</v>
      </c>
      <c r="B204" s="1">
        <v>43891.842256944445</v>
      </c>
      <c r="C204" t="s">
        <v>446</v>
      </c>
      <c r="D204" t="s">
        <v>447</v>
      </c>
      <c r="E204">
        <v>7</v>
      </c>
      <c r="F204">
        <v>28.7</v>
      </c>
      <c r="G204" t="s">
        <v>15</v>
      </c>
      <c r="H204" t="s">
        <v>129</v>
      </c>
      <c r="I204" t="s">
        <v>25</v>
      </c>
      <c r="J204" t="b">
        <v>0</v>
      </c>
      <c r="K204" t="s">
        <v>47</v>
      </c>
      <c r="L204" t="s">
        <v>19</v>
      </c>
      <c r="M204" t="s">
        <v>28</v>
      </c>
      <c r="N204">
        <f>YEAR(Table1[[#This Row],[Date]])</f>
        <v>2020</v>
      </c>
      <c r="O204" t="str">
        <f>TEXT(Table1[[#This Row],[Date]],"mmm")</f>
        <v>Mar</v>
      </c>
      <c r="P204" t="str">
        <f>IF(Table1[[#This Row],[Total_Cost]]&lt;25,"low",IF(Table1[[#This Row],[Total_Cost]]&lt;60,"medium","high"))</f>
        <v>medium</v>
      </c>
      <c r="Q204" t="str">
        <f>IF(Table1[[#This Row],[Discount_Applied]]=TRUE,"discount applied","no discount")</f>
        <v>no discount</v>
      </c>
    </row>
    <row r="205" spans="1:17" x14ac:dyDescent="0.3">
      <c r="A205">
        <v>1000000203</v>
      </c>
      <c r="B205" s="1">
        <v>44450.775196759256</v>
      </c>
      <c r="C205" t="s">
        <v>448</v>
      </c>
      <c r="D205" t="s">
        <v>449</v>
      </c>
      <c r="E205">
        <v>5</v>
      </c>
      <c r="F205">
        <v>8.06</v>
      </c>
      <c r="G205" t="s">
        <v>31</v>
      </c>
      <c r="H205" t="s">
        <v>70</v>
      </c>
      <c r="I205" t="s">
        <v>17</v>
      </c>
      <c r="J205" t="b">
        <v>1</v>
      </c>
      <c r="K205" t="s">
        <v>80</v>
      </c>
      <c r="L205" t="s">
        <v>27</v>
      </c>
      <c r="M205" t="s">
        <v>20</v>
      </c>
      <c r="N205">
        <f>YEAR(Table1[[#This Row],[Date]])</f>
        <v>2021</v>
      </c>
      <c r="O205" t="str">
        <f>TEXT(Table1[[#This Row],[Date]],"mmm")</f>
        <v>Sep</v>
      </c>
      <c r="P205" t="str">
        <f>IF(Table1[[#This Row],[Total_Cost]]&lt;25,"low",IF(Table1[[#This Row],[Total_Cost]]&lt;60,"medium","high"))</f>
        <v>low</v>
      </c>
      <c r="Q205" t="str">
        <f>IF(Table1[[#This Row],[Discount_Applied]]=TRUE,"discount applied","no discount")</f>
        <v>discount applied</v>
      </c>
    </row>
    <row r="206" spans="1:17" x14ac:dyDescent="0.3">
      <c r="A206">
        <v>1000000204</v>
      </c>
      <c r="B206" s="1">
        <v>45259.79184027778</v>
      </c>
      <c r="C206" t="s">
        <v>450</v>
      </c>
      <c r="D206" t="s">
        <v>451</v>
      </c>
      <c r="E206">
        <v>3</v>
      </c>
      <c r="F206">
        <v>89.38</v>
      </c>
      <c r="G206" t="s">
        <v>23</v>
      </c>
      <c r="H206" t="s">
        <v>77</v>
      </c>
      <c r="I206" t="s">
        <v>17</v>
      </c>
      <c r="J206" t="b">
        <v>1</v>
      </c>
      <c r="K206" t="s">
        <v>18</v>
      </c>
      <c r="L206" t="s">
        <v>38</v>
      </c>
      <c r="M206" t="s">
        <v>28</v>
      </c>
      <c r="N206">
        <f>YEAR(Table1[[#This Row],[Date]])</f>
        <v>2023</v>
      </c>
      <c r="O206" t="str">
        <f>TEXT(Table1[[#This Row],[Date]],"mmm")</f>
        <v>Nov</v>
      </c>
      <c r="P206" t="str">
        <f>IF(Table1[[#This Row],[Total_Cost]]&lt;25,"low",IF(Table1[[#This Row],[Total_Cost]]&lt;60,"medium","high"))</f>
        <v>high</v>
      </c>
      <c r="Q206" t="str">
        <f>IF(Table1[[#This Row],[Discount_Applied]]=TRUE,"discount applied","no discount")</f>
        <v>discount applied</v>
      </c>
    </row>
    <row r="207" spans="1:17" x14ac:dyDescent="0.3">
      <c r="A207">
        <v>1000000205</v>
      </c>
      <c r="B207" s="1">
        <v>45287.212129629632</v>
      </c>
      <c r="C207" t="s">
        <v>452</v>
      </c>
      <c r="D207" t="s">
        <v>453</v>
      </c>
      <c r="E207">
        <v>8</v>
      </c>
      <c r="F207">
        <v>18.75</v>
      </c>
      <c r="G207" t="s">
        <v>15</v>
      </c>
      <c r="H207" t="s">
        <v>24</v>
      </c>
      <c r="I207" t="s">
        <v>25</v>
      </c>
      <c r="J207" t="b">
        <v>0</v>
      </c>
      <c r="K207" t="s">
        <v>87</v>
      </c>
      <c r="L207" t="s">
        <v>52</v>
      </c>
      <c r="M207" t="s">
        <v>43</v>
      </c>
      <c r="N207">
        <f>YEAR(Table1[[#This Row],[Date]])</f>
        <v>2023</v>
      </c>
      <c r="O207" t="str">
        <f>TEXT(Table1[[#This Row],[Date]],"mmm")</f>
        <v>Dec</v>
      </c>
      <c r="P207" t="str">
        <f>IF(Table1[[#This Row],[Total_Cost]]&lt;25,"low",IF(Table1[[#This Row],[Total_Cost]]&lt;60,"medium","high"))</f>
        <v>low</v>
      </c>
      <c r="Q207" t="str">
        <f>IF(Table1[[#This Row],[Discount_Applied]]=TRUE,"discount applied","no discount")</f>
        <v>no discount</v>
      </c>
    </row>
    <row r="208" spans="1:17" x14ac:dyDescent="0.3">
      <c r="A208">
        <v>1000000206</v>
      </c>
      <c r="B208" s="1">
        <v>45047.229120370372</v>
      </c>
      <c r="C208" t="s">
        <v>454</v>
      </c>
      <c r="D208" t="s">
        <v>122</v>
      </c>
      <c r="E208">
        <v>6</v>
      </c>
      <c r="F208">
        <v>9.02</v>
      </c>
      <c r="G208" t="s">
        <v>15</v>
      </c>
      <c r="H208" t="s">
        <v>24</v>
      </c>
      <c r="I208" t="s">
        <v>17</v>
      </c>
      <c r="J208" t="b">
        <v>1</v>
      </c>
      <c r="K208" t="s">
        <v>18</v>
      </c>
      <c r="L208" t="s">
        <v>19</v>
      </c>
      <c r="M208" t="s">
        <v>43</v>
      </c>
      <c r="N208">
        <f>YEAR(Table1[[#This Row],[Date]])</f>
        <v>2023</v>
      </c>
      <c r="O208" t="str">
        <f>TEXT(Table1[[#This Row],[Date]],"mmm")</f>
        <v>May</v>
      </c>
      <c r="P208" t="str">
        <f>IF(Table1[[#This Row],[Total_Cost]]&lt;25,"low",IF(Table1[[#This Row],[Total_Cost]]&lt;60,"medium","high"))</f>
        <v>low</v>
      </c>
      <c r="Q208" t="str">
        <f>IF(Table1[[#This Row],[Discount_Applied]]=TRUE,"discount applied","no discount")</f>
        <v>discount applied</v>
      </c>
    </row>
    <row r="209" spans="1:17" x14ac:dyDescent="0.3">
      <c r="A209">
        <v>1000000207</v>
      </c>
      <c r="B209" s="1">
        <v>44296.338888888888</v>
      </c>
      <c r="C209" t="s">
        <v>455</v>
      </c>
      <c r="D209" t="s">
        <v>456</v>
      </c>
      <c r="E209">
        <v>9</v>
      </c>
      <c r="F209">
        <v>17.34</v>
      </c>
      <c r="G209" t="s">
        <v>15</v>
      </c>
      <c r="H209" t="s">
        <v>36</v>
      </c>
      <c r="I209" t="s">
        <v>46</v>
      </c>
      <c r="J209" t="b">
        <v>0</v>
      </c>
      <c r="K209" t="s">
        <v>18</v>
      </c>
      <c r="L209" t="s">
        <v>27</v>
      </c>
      <c r="M209" t="s">
        <v>28</v>
      </c>
      <c r="N209">
        <f>YEAR(Table1[[#This Row],[Date]])</f>
        <v>2021</v>
      </c>
      <c r="O209" t="str">
        <f>TEXT(Table1[[#This Row],[Date]],"mmm")</f>
        <v>Apr</v>
      </c>
      <c r="P209" t="str">
        <f>IF(Table1[[#This Row],[Total_Cost]]&lt;25,"low",IF(Table1[[#This Row],[Total_Cost]]&lt;60,"medium","high"))</f>
        <v>low</v>
      </c>
      <c r="Q209" t="str">
        <f>IF(Table1[[#This Row],[Discount_Applied]]=TRUE,"discount applied","no discount")</f>
        <v>no discount</v>
      </c>
    </row>
    <row r="210" spans="1:17" x14ac:dyDescent="0.3">
      <c r="A210">
        <v>1000000208</v>
      </c>
      <c r="B210" s="1">
        <v>44713.011597222219</v>
      </c>
      <c r="C210" t="s">
        <v>457</v>
      </c>
      <c r="D210" t="s">
        <v>458</v>
      </c>
      <c r="E210">
        <v>10</v>
      </c>
      <c r="F210">
        <v>8.2200000000000006</v>
      </c>
      <c r="G210" t="s">
        <v>23</v>
      </c>
      <c r="H210" t="s">
        <v>36</v>
      </c>
      <c r="I210" t="s">
        <v>17</v>
      </c>
      <c r="J210" t="b">
        <v>0</v>
      </c>
      <c r="K210" t="s">
        <v>42</v>
      </c>
      <c r="L210" t="s">
        <v>19</v>
      </c>
      <c r="M210" t="s">
        <v>43</v>
      </c>
      <c r="N210">
        <f>YEAR(Table1[[#This Row],[Date]])</f>
        <v>2022</v>
      </c>
      <c r="O210" t="str">
        <f>TEXT(Table1[[#This Row],[Date]],"mmm")</f>
        <v>Jun</v>
      </c>
      <c r="P210" t="str">
        <f>IF(Table1[[#This Row],[Total_Cost]]&lt;25,"low",IF(Table1[[#This Row],[Total_Cost]]&lt;60,"medium","high"))</f>
        <v>low</v>
      </c>
      <c r="Q210" t="str">
        <f>IF(Table1[[#This Row],[Discount_Applied]]=TRUE,"discount applied","no discount")</f>
        <v>no discount</v>
      </c>
    </row>
    <row r="211" spans="1:17" x14ac:dyDescent="0.3">
      <c r="A211">
        <v>1000000209</v>
      </c>
      <c r="B211" s="1">
        <v>44428.250520833331</v>
      </c>
      <c r="C211" t="s">
        <v>459</v>
      </c>
      <c r="D211" t="s">
        <v>460</v>
      </c>
      <c r="E211">
        <v>5</v>
      </c>
      <c r="F211">
        <v>33.07</v>
      </c>
      <c r="G211" t="s">
        <v>23</v>
      </c>
      <c r="H211" t="s">
        <v>50</v>
      </c>
      <c r="I211" t="s">
        <v>46</v>
      </c>
      <c r="J211" t="b">
        <v>1</v>
      </c>
      <c r="K211" t="s">
        <v>62</v>
      </c>
      <c r="L211" t="s">
        <v>38</v>
      </c>
      <c r="M211" t="s">
        <v>28</v>
      </c>
      <c r="N211">
        <f>YEAR(Table1[[#This Row],[Date]])</f>
        <v>2021</v>
      </c>
      <c r="O211" t="str">
        <f>TEXT(Table1[[#This Row],[Date]],"mmm")</f>
        <v>Aug</v>
      </c>
      <c r="P211" t="str">
        <f>IF(Table1[[#This Row],[Total_Cost]]&lt;25,"low",IF(Table1[[#This Row],[Total_Cost]]&lt;60,"medium","high"))</f>
        <v>medium</v>
      </c>
      <c r="Q211" t="str">
        <f>IF(Table1[[#This Row],[Discount_Applied]]=TRUE,"discount applied","no discount")</f>
        <v>discount applied</v>
      </c>
    </row>
    <row r="212" spans="1:17" x14ac:dyDescent="0.3">
      <c r="A212">
        <v>1000000210</v>
      </c>
      <c r="B212" s="1">
        <v>45186.067685185182</v>
      </c>
      <c r="C212" t="s">
        <v>461</v>
      </c>
      <c r="D212" t="s">
        <v>462</v>
      </c>
      <c r="E212">
        <v>6</v>
      </c>
      <c r="F212">
        <v>48.16</v>
      </c>
      <c r="G212" t="s">
        <v>31</v>
      </c>
      <c r="H212" t="s">
        <v>77</v>
      </c>
      <c r="I212" t="s">
        <v>59</v>
      </c>
      <c r="J212" t="b">
        <v>0</v>
      </c>
      <c r="K212" t="s">
        <v>42</v>
      </c>
      <c r="L212" t="s">
        <v>27</v>
      </c>
      <c r="M212" t="s">
        <v>43</v>
      </c>
      <c r="N212">
        <f>YEAR(Table1[[#This Row],[Date]])</f>
        <v>2023</v>
      </c>
      <c r="O212" t="str">
        <f>TEXT(Table1[[#This Row],[Date]],"mmm")</f>
        <v>Sep</v>
      </c>
      <c r="P212" t="str">
        <f>IF(Table1[[#This Row],[Total_Cost]]&lt;25,"low",IF(Table1[[#This Row],[Total_Cost]]&lt;60,"medium","high"))</f>
        <v>medium</v>
      </c>
      <c r="Q212" t="str">
        <f>IF(Table1[[#This Row],[Discount_Applied]]=TRUE,"discount applied","no discount")</f>
        <v>no discount</v>
      </c>
    </row>
    <row r="213" spans="1:17" x14ac:dyDescent="0.3">
      <c r="A213">
        <v>1000000211</v>
      </c>
      <c r="B213" s="1">
        <v>44320.677847222221</v>
      </c>
      <c r="C213" t="s">
        <v>463</v>
      </c>
      <c r="D213" t="s">
        <v>464</v>
      </c>
      <c r="E213">
        <v>5</v>
      </c>
      <c r="F213">
        <v>74.819999999999993</v>
      </c>
      <c r="G213" t="s">
        <v>41</v>
      </c>
      <c r="H213" t="s">
        <v>32</v>
      </c>
      <c r="I213" t="s">
        <v>17</v>
      </c>
      <c r="J213" t="b">
        <v>0</v>
      </c>
      <c r="K213" t="s">
        <v>87</v>
      </c>
      <c r="L213" t="s">
        <v>52</v>
      </c>
      <c r="M213" t="s">
        <v>43</v>
      </c>
      <c r="N213">
        <f>YEAR(Table1[[#This Row],[Date]])</f>
        <v>2021</v>
      </c>
      <c r="O213" t="str">
        <f>TEXT(Table1[[#This Row],[Date]],"mmm")</f>
        <v>May</v>
      </c>
      <c r="P213" t="str">
        <f>IF(Table1[[#This Row],[Total_Cost]]&lt;25,"low",IF(Table1[[#This Row],[Total_Cost]]&lt;60,"medium","high"))</f>
        <v>high</v>
      </c>
      <c r="Q213" t="str">
        <f>IF(Table1[[#This Row],[Discount_Applied]]=TRUE,"discount applied","no discount")</f>
        <v>no discount</v>
      </c>
    </row>
    <row r="214" spans="1:17" x14ac:dyDescent="0.3">
      <c r="A214">
        <v>1000000212</v>
      </c>
      <c r="B214" s="1">
        <v>44104.478368055556</v>
      </c>
      <c r="C214" t="s">
        <v>465</v>
      </c>
      <c r="D214" t="s">
        <v>466</v>
      </c>
      <c r="E214">
        <v>8</v>
      </c>
      <c r="F214">
        <v>75.3</v>
      </c>
      <c r="G214" t="s">
        <v>23</v>
      </c>
      <c r="H214" t="s">
        <v>50</v>
      </c>
      <c r="I214" t="s">
        <v>33</v>
      </c>
      <c r="J214" t="b">
        <v>1</v>
      </c>
      <c r="K214" t="s">
        <v>42</v>
      </c>
      <c r="L214" t="s">
        <v>19</v>
      </c>
      <c r="M214" t="s">
        <v>43</v>
      </c>
      <c r="N214">
        <f>YEAR(Table1[[#This Row],[Date]])</f>
        <v>2020</v>
      </c>
      <c r="O214" t="str">
        <f>TEXT(Table1[[#This Row],[Date]],"mmm")</f>
        <v>Sep</v>
      </c>
      <c r="P214" t="str">
        <f>IF(Table1[[#This Row],[Total_Cost]]&lt;25,"low",IF(Table1[[#This Row],[Total_Cost]]&lt;60,"medium","high"))</f>
        <v>high</v>
      </c>
      <c r="Q214" t="str">
        <f>IF(Table1[[#This Row],[Discount_Applied]]=TRUE,"discount applied","no discount")</f>
        <v>discount applied</v>
      </c>
    </row>
    <row r="215" spans="1:17" x14ac:dyDescent="0.3">
      <c r="A215">
        <v>1000000213</v>
      </c>
      <c r="B215" s="1">
        <v>44469.220381944448</v>
      </c>
      <c r="C215" t="s">
        <v>467</v>
      </c>
      <c r="D215" t="s">
        <v>468</v>
      </c>
      <c r="E215">
        <v>3</v>
      </c>
      <c r="F215">
        <v>83.89</v>
      </c>
      <c r="G215" t="s">
        <v>31</v>
      </c>
      <c r="H215" t="s">
        <v>77</v>
      </c>
      <c r="I215" t="s">
        <v>59</v>
      </c>
      <c r="J215" t="b">
        <v>1</v>
      </c>
      <c r="K215" t="s">
        <v>47</v>
      </c>
      <c r="L215" t="s">
        <v>19</v>
      </c>
      <c r="M215" t="s">
        <v>20</v>
      </c>
      <c r="N215">
        <f>YEAR(Table1[[#This Row],[Date]])</f>
        <v>2021</v>
      </c>
      <c r="O215" t="str">
        <f>TEXT(Table1[[#This Row],[Date]],"mmm")</f>
        <v>Sep</v>
      </c>
      <c r="P215" t="str">
        <f>IF(Table1[[#This Row],[Total_Cost]]&lt;25,"low",IF(Table1[[#This Row],[Total_Cost]]&lt;60,"medium","high"))</f>
        <v>high</v>
      </c>
      <c r="Q215" t="str">
        <f>IF(Table1[[#This Row],[Discount_Applied]]=TRUE,"discount applied","no discount")</f>
        <v>discount applied</v>
      </c>
    </row>
    <row r="216" spans="1:17" x14ac:dyDescent="0.3">
      <c r="A216">
        <v>1000000214</v>
      </c>
      <c r="B216" s="1">
        <v>45058.339398148149</v>
      </c>
      <c r="C216" t="s">
        <v>469</v>
      </c>
      <c r="D216" t="s">
        <v>470</v>
      </c>
      <c r="E216">
        <v>6</v>
      </c>
      <c r="F216">
        <v>30.28</v>
      </c>
      <c r="G216" t="s">
        <v>15</v>
      </c>
      <c r="H216" t="s">
        <v>70</v>
      </c>
      <c r="I216" t="s">
        <v>17</v>
      </c>
      <c r="J216" t="b">
        <v>0</v>
      </c>
      <c r="K216" t="s">
        <v>80</v>
      </c>
      <c r="L216" t="s">
        <v>38</v>
      </c>
      <c r="M216" t="s">
        <v>20</v>
      </c>
      <c r="N216">
        <f>YEAR(Table1[[#This Row],[Date]])</f>
        <v>2023</v>
      </c>
      <c r="O216" t="str">
        <f>TEXT(Table1[[#This Row],[Date]],"mmm")</f>
        <v>May</v>
      </c>
      <c r="P216" t="str">
        <f>IF(Table1[[#This Row],[Total_Cost]]&lt;25,"low",IF(Table1[[#This Row],[Total_Cost]]&lt;60,"medium","high"))</f>
        <v>medium</v>
      </c>
      <c r="Q216" t="str">
        <f>IF(Table1[[#This Row],[Discount_Applied]]=TRUE,"discount applied","no discount")</f>
        <v>no discount</v>
      </c>
    </row>
    <row r="217" spans="1:17" x14ac:dyDescent="0.3">
      <c r="A217">
        <v>1000000215</v>
      </c>
      <c r="B217" s="1">
        <v>43833.983460648145</v>
      </c>
      <c r="C217" t="s">
        <v>471</v>
      </c>
      <c r="D217" t="s">
        <v>472</v>
      </c>
      <c r="E217">
        <v>4</v>
      </c>
      <c r="F217">
        <v>95.87</v>
      </c>
      <c r="G217" t="s">
        <v>31</v>
      </c>
      <c r="H217" t="s">
        <v>16</v>
      </c>
      <c r="I217" t="s">
        <v>46</v>
      </c>
      <c r="J217" t="b">
        <v>0</v>
      </c>
      <c r="K217" t="s">
        <v>26</v>
      </c>
      <c r="L217" t="s">
        <v>27</v>
      </c>
      <c r="M217" t="s">
        <v>28</v>
      </c>
      <c r="N217">
        <f>YEAR(Table1[[#This Row],[Date]])</f>
        <v>2020</v>
      </c>
      <c r="O217" t="str">
        <f>TEXT(Table1[[#This Row],[Date]],"mmm")</f>
        <v>Jan</v>
      </c>
      <c r="P217" t="str">
        <f>IF(Table1[[#This Row],[Total_Cost]]&lt;25,"low",IF(Table1[[#This Row],[Total_Cost]]&lt;60,"medium","high"))</f>
        <v>high</v>
      </c>
      <c r="Q217" t="str">
        <f>IF(Table1[[#This Row],[Discount_Applied]]=TRUE,"discount applied","no discount")</f>
        <v>no discount</v>
      </c>
    </row>
    <row r="218" spans="1:17" x14ac:dyDescent="0.3">
      <c r="A218">
        <v>1000000216</v>
      </c>
      <c r="B218" s="1">
        <v>44684.821631944447</v>
      </c>
      <c r="C218" t="s">
        <v>473</v>
      </c>
      <c r="D218" t="s">
        <v>474</v>
      </c>
      <c r="E218">
        <v>6</v>
      </c>
      <c r="F218">
        <v>55.43</v>
      </c>
      <c r="G218" t="s">
        <v>15</v>
      </c>
      <c r="H218" t="s">
        <v>96</v>
      </c>
      <c r="I218" t="s">
        <v>37</v>
      </c>
      <c r="J218" t="b">
        <v>0</v>
      </c>
      <c r="K218" t="s">
        <v>62</v>
      </c>
      <c r="L218" t="s">
        <v>38</v>
      </c>
      <c r="M218" t="s">
        <v>28</v>
      </c>
      <c r="N218">
        <f>YEAR(Table1[[#This Row],[Date]])</f>
        <v>2022</v>
      </c>
      <c r="O218" t="str">
        <f>TEXT(Table1[[#This Row],[Date]],"mmm")</f>
        <v>May</v>
      </c>
      <c r="P218" t="str">
        <f>IF(Table1[[#This Row],[Total_Cost]]&lt;25,"low",IF(Table1[[#This Row],[Total_Cost]]&lt;60,"medium","high"))</f>
        <v>medium</v>
      </c>
      <c r="Q218" t="str">
        <f>IF(Table1[[#This Row],[Discount_Applied]]=TRUE,"discount applied","no discount")</f>
        <v>no discount</v>
      </c>
    </row>
    <row r="219" spans="1:17" x14ac:dyDescent="0.3">
      <c r="A219">
        <v>1000000217</v>
      </c>
      <c r="B219" s="1">
        <v>44457.247395833336</v>
      </c>
      <c r="C219" t="s">
        <v>475</v>
      </c>
      <c r="D219" t="s">
        <v>476</v>
      </c>
      <c r="E219">
        <v>7</v>
      </c>
      <c r="F219">
        <v>21.95</v>
      </c>
      <c r="G219" t="s">
        <v>23</v>
      </c>
      <c r="H219" t="s">
        <v>50</v>
      </c>
      <c r="I219" t="s">
        <v>33</v>
      </c>
      <c r="J219" t="b">
        <v>1</v>
      </c>
      <c r="K219" t="s">
        <v>87</v>
      </c>
      <c r="L219" t="s">
        <v>19</v>
      </c>
      <c r="M219" t="s">
        <v>43</v>
      </c>
      <c r="N219">
        <f>YEAR(Table1[[#This Row],[Date]])</f>
        <v>2021</v>
      </c>
      <c r="O219" t="str">
        <f>TEXT(Table1[[#This Row],[Date]],"mmm")</f>
        <v>Sep</v>
      </c>
      <c r="P219" t="str">
        <f>IF(Table1[[#This Row],[Total_Cost]]&lt;25,"low",IF(Table1[[#This Row],[Total_Cost]]&lt;60,"medium","high"))</f>
        <v>low</v>
      </c>
      <c r="Q219" t="str">
        <f>IF(Table1[[#This Row],[Discount_Applied]]=TRUE,"discount applied","no discount")</f>
        <v>discount applied</v>
      </c>
    </row>
    <row r="220" spans="1:17" x14ac:dyDescent="0.3">
      <c r="A220">
        <v>1000000218</v>
      </c>
      <c r="B220" s="1">
        <v>44443.251342592594</v>
      </c>
      <c r="C220" t="s">
        <v>477</v>
      </c>
      <c r="D220" t="s">
        <v>478</v>
      </c>
      <c r="E220">
        <v>9</v>
      </c>
      <c r="F220">
        <v>52.4</v>
      </c>
      <c r="G220" t="s">
        <v>31</v>
      </c>
      <c r="H220" t="s">
        <v>16</v>
      </c>
      <c r="I220" t="s">
        <v>33</v>
      </c>
      <c r="J220" t="b">
        <v>0</v>
      </c>
      <c r="K220" t="s">
        <v>80</v>
      </c>
      <c r="L220" t="s">
        <v>52</v>
      </c>
      <c r="M220" t="s">
        <v>28</v>
      </c>
      <c r="N220">
        <f>YEAR(Table1[[#This Row],[Date]])</f>
        <v>2021</v>
      </c>
      <c r="O220" t="str">
        <f>TEXT(Table1[[#This Row],[Date]],"mmm")</f>
        <v>Sep</v>
      </c>
      <c r="P220" t="str">
        <f>IF(Table1[[#This Row],[Total_Cost]]&lt;25,"low",IF(Table1[[#This Row],[Total_Cost]]&lt;60,"medium","high"))</f>
        <v>medium</v>
      </c>
      <c r="Q220" t="str">
        <f>IF(Table1[[#This Row],[Discount_Applied]]=TRUE,"discount applied","no discount")</f>
        <v>no discount</v>
      </c>
    </row>
    <row r="221" spans="1:17" x14ac:dyDescent="0.3">
      <c r="A221">
        <v>1000000219</v>
      </c>
      <c r="B221" s="1">
        <v>44141.179849537039</v>
      </c>
      <c r="C221" t="s">
        <v>479</v>
      </c>
      <c r="D221" t="s">
        <v>480</v>
      </c>
      <c r="E221">
        <v>7</v>
      </c>
      <c r="F221">
        <v>14.82</v>
      </c>
      <c r="G221" t="s">
        <v>15</v>
      </c>
      <c r="H221" t="s">
        <v>65</v>
      </c>
      <c r="I221" t="s">
        <v>33</v>
      </c>
      <c r="J221" t="b">
        <v>0</v>
      </c>
      <c r="K221" t="s">
        <v>47</v>
      </c>
      <c r="L221" t="s">
        <v>27</v>
      </c>
      <c r="M221" t="s">
        <v>28</v>
      </c>
      <c r="N221">
        <f>YEAR(Table1[[#This Row],[Date]])</f>
        <v>2020</v>
      </c>
      <c r="O221" t="str">
        <f>TEXT(Table1[[#This Row],[Date]],"mmm")</f>
        <v>Nov</v>
      </c>
      <c r="P221" t="str">
        <f>IF(Table1[[#This Row],[Total_Cost]]&lt;25,"low",IF(Table1[[#This Row],[Total_Cost]]&lt;60,"medium","high"))</f>
        <v>low</v>
      </c>
      <c r="Q221" t="str">
        <f>IF(Table1[[#This Row],[Discount_Applied]]=TRUE,"discount applied","no discount")</f>
        <v>no discount</v>
      </c>
    </row>
    <row r="222" spans="1:17" x14ac:dyDescent="0.3">
      <c r="A222">
        <v>1000000220</v>
      </c>
      <c r="B222" s="1">
        <v>45324.546388888892</v>
      </c>
      <c r="C222" t="s">
        <v>481</v>
      </c>
      <c r="D222" t="s">
        <v>482</v>
      </c>
      <c r="E222">
        <v>8</v>
      </c>
      <c r="F222">
        <v>16.190000000000001</v>
      </c>
      <c r="G222" t="s">
        <v>41</v>
      </c>
      <c r="H222" t="s">
        <v>77</v>
      </c>
      <c r="I222" t="s">
        <v>17</v>
      </c>
      <c r="J222" t="b">
        <v>0</v>
      </c>
      <c r="K222" t="s">
        <v>51</v>
      </c>
      <c r="L222" t="s">
        <v>27</v>
      </c>
      <c r="M222" t="s">
        <v>28</v>
      </c>
      <c r="N222">
        <f>YEAR(Table1[[#This Row],[Date]])</f>
        <v>2024</v>
      </c>
      <c r="O222" t="str">
        <f>TEXT(Table1[[#This Row],[Date]],"mmm")</f>
        <v>Feb</v>
      </c>
      <c r="P222" t="str">
        <f>IF(Table1[[#This Row],[Total_Cost]]&lt;25,"low",IF(Table1[[#This Row],[Total_Cost]]&lt;60,"medium","high"))</f>
        <v>low</v>
      </c>
      <c r="Q222" t="str">
        <f>IF(Table1[[#This Row],[Discount_Applied]]=TRUE,"discount applied","no discount")</f>
        <v>no discount</v>
      </c>
    </row>
    <row r="223" spans="1:17" x14ac:dyDescent="0.3">
      <c r="A223">
        <v>1000000221</v>
      </c>
      <c r="B223" s="1">
        <v>45036.18540509259</v>
      </c>
      <c r="C223" t="s">
        <v>483</v>
      </c>
      <c r="D223" t="s">
        <v>484</v>
      </c>
      <c r="E223">
        <v>1</v>
      </c>
      <c r="F223">
        <v>24.33</v>
      </c>
      <c r="G223" t="s">
        <v>31</v>
      </c>
      <c r="H223" t="s">
        <v>32</v>
      </c>
      <c r="I223" t="s">
        <v>33</v>
      </c>
      <c r="J223" t="b">
        <v>1</v>
      </c>
      <c r="K223" t="s">
        <v>26</v>
      </c>
      <c r="L223" t="s">
        <v>38</v>
      </c>
      <c r="M223" t="s">
        <v>20</v>
      </c>
      <c r="N223">
        <f>YEAR(Table1[[#This Row],[Date]])</f>
        <v>2023</v>
      </c>
      <c r="O223" t="str">
        <f>TEXT(Table1[[#This Row],[Date]],"mmm")</f>
        <v>Apr</v>
      </c>
      <c r="P223" t="str">
        <f>IF(Table1[[#This Row],[Total_Cost]]&lt;25,"low",IF(Table1[[#This Row],[Total_Cost]]&lt;60,"medium","high"))</f>
        <v>low</v>
      </c>
      <c r="Q223" t="str">
        <f>IF(Table1[[#This Row],[Discount_Applied]]=TRUE,"discount applied","no discount")</f>
        <v>discount applied</v>
      </c>
    </row>
    <row r="224" spans="1:17" x14ac:dyDescent="0.3">
      <c r="A224">
        <v>1000000222</v>
      </c>
      <c r="B224" s="1">
        <v>44232.312430555554</v>
      </c>
      <c r="C224" t="s">
        <v>485</v>
      </c>
      <c r="D224" t="s">
        <v>228</v>
      </c>
      <c r="E224">
        <v>4</v>
      </c>
      <c r="F224">
        <v>55.11</v>
      </c>
      <c r="G224" t="s">
        <v>23</v>
      </c>
      <c r="H224" t="s">
        <v>24</v>
      </c>
      <c r="I224" t="s">
        <v>25</v>
      </c>
      <c r="J224" t="b">
        <v>1</v>
      </c>
      <c r="K224" t="s">
        <v>47</v>
      </c>
      <c r="L224" t="s">
        <v>52</v>
      </c>
      <c r="M224" t="s">
        <v>43</v>
      </c>
      <c r="N224">
        <f>YEAR(Table1[[#This Row],[Date]])</f>
        <v>2021</v>
      </c>
      <c r="O224" t="str">
        <f>TEXT(Table1[[#This Row],[Date]],"mmm")</f>
        <v>Feb</v>
      </c>
      <c r="P224" t="str">
        <f>IF(Table1[[#This Row],[Total_Cost]]&lt;25,"low",IF(Table1[[#This Row],[Total_Cost]]&lt;60,"medium","high"))</f>
        <v>medium</v>
      </c>
      <c r="Q224" t="str">
        <f>IF(Table1[[#This Row],[Discount_Applied]]=TRUE,"discount applied","no discount")</f>
        <v>discount applied</v>
      </c>
    </row>
    <row r="225" spans="1:17" x14ac:dyDescent="0.3">
      <c r="A225">
        <v>1000000223</v>
      </c>
      <c r="B225" s="1">
        <v>44986.980266203704</v>
      </c>
      <c r="C225" t="s">
        <v>486</v>
      </c>
      <c r="D225" t="s">
        <v>487</v>
      </c>
      <c r="E225">
        <v>4</v>
      </c>
      <c r="F225">
        <v>77.38</v>
      </c>
      <c r="G225" t="s">
        <v>41</v>
      </c>
      <c r="H225" t="s">
        <v>24</v>
      </c>
      <c r="I225" t="s">
        <v>59</v>
      </c>
      <c r="J225" t="b">
        <v>1</v>
      </c>
      <c r="K225" t="s">
        <v>26</v>
      </c>
      <c r="L225" t="s">
        <v>38</v>
      </c>
      <c r="M225" t="s">
        <v>20</v>
      </c>
      <c r="N225">
        <f>YEAR(Table1[[#This Row],[Date]])</f>
        <v>2023</v>
      </c>
      <c r="O225" t="str">
        <f>TEXT(Table1[[#This Row],[Date]],"mmm")</f>
        <v>Mar</v>
      </c>
      <c r="P225" t="str">
        <f>IF(Table1[[#This Row],[Total_Cost]]&lt;25,"low",IF(Table1[[#This Row],[Total_Cost]]&lt;60,"medium","high"))</f>
        <v>high</v>
      </c>
      <c r="Q225" t="str">
        <f>IF(Table1[[#This Row],[Discount_Applied]]=TRUE,"discount applied","no discount")</f>
        <v>discount applied</v>
      </c>
    </row>
    <row r="226" spans="1:17" x14ac:dyDescent="0.3">
      <c r="A226">
        <v>1000000224</v>
      </c>
      <c r="B226" s="1">
        <v>44113.215925925928</v>
      </c>
      <c r="C226" t="s">
        <v>488</v>
      </c>
      <c r="D226" t="s">
        <v>489</v>
      </c>
      <c r="E226">
        <v>2</v>
      </c>
      <c r="F226">
        <v>34.799999999999997</v>
      </c>
      <c r="G226" t="s">
        <v>31</v>
      </c>
      <c r="H226" t="s">
        <v>129</v>
      </c>
      <c r="I226" t="s">
        <v>46</v>
      </c>
      <c r="J226" t="b">
        <v>1</v>
      </c>
      <c r="K226" t="s">
        <v>18</v>
      </c>
      <c r="L226" t="s">
        <v>52</v>
      </c>
      <c r="M226" t="s">
        <v>43</v>
      </c>
      <c r="N226">
        <f>YEAR(Table1[[#This Row],[Date]])</f>
        <v>2020</v>
      </c>
      <c r="O226" t="str">
        <f>TEXT(Table1[[#This Row],[Date]],"mmm")</f>
        <v>Oct</v>
      </c>
      <c r="P226" t="str">
        <f>IF(Table1[[#This Row],[Total_Cost]]&lt;25,"low",IF(Table1[[#This Row],[Total_Cost]]&lt;60,"medium","high"))</f>
        <v>medium</v>
      </c>
      <c r="Q226" t="str">
        <f>IF(Table1[[#This Row],[Discount_Applied]]=TRUE,"discount applied","no discount")</f>
        <v>discount applied</v>
      </c>
    </row>
    <row r="227" spans="1:17" x14ac:dyDescent="0.3">
      <c r="A227">
        <v>1000000225</v>
      </c>
      <c r="B227" s="1">
        <v>44421.544317129628</v>
      </c>
      <c r="C227" t="s">
        <v>490</v>
      </c>
      <c r="D227" t="s">
        <v>491</v>
      </c>
      <c r="E227">
        <v>7</v>
      </c>
      <c r="F227">
        <v>72.489999999999995</v>
      </c>
      <c r="G227" t="s">
        <v>31</v>
      </c>
      <c r="H227" t="s">
        <v>24</v>
      </c>
      <c r="I227" t="s">
        <v>59</v>
      </c>
      <c r="J227" t="b">
        <v>0</v>
      </c>
      <c r="K227" t="s">
        <v>80</v>
      </c>
      <c r="L227" t="s">
        <v>52</v>
      </c>
      <c r="M227" t="s">
        <v>28</v>
      </c>
      <c r="N227">
        <f>YEAR(Table1[[#This Row],[Date]])</f>
        <v>2021</v>
      </c>
      <c r="O227" t="str">
        <f>TEXT(Table1[[#This Row],[Date]],"mmm")</f>
        <v>Aug</v>
      </c>
      <c r="P227" t="str">
        <f>IF(Table1[[#This Row],[Total_Cost]]&lt;25,"low",IF(Table1[[#This Row],[Total_Cost]]&lt;60,"medium","high"))</f>
        <v>high</v>
      </c>
      <c r="Q227" t="str">
        <f>IF(Table1[[#This Row],[Discount_Applied]]=TRUE,"discount applied","no discount")</f>
        <v>no discount</v>
      </c>
    </row>
    <row r="228" spans="1:17" x14ac:dyDescent="0.3">
      <c r="A228">
        <v>1000000226</v>
      </c>
      <c r="B228" s="1">
        <v>44882.248217592591</v>
      </c>
      <c r="C228" t="s">
        <v>492</v>
      </c>
      <c r="D228" t="s">
        <v>493</v>
      </c>
      <c r="E228">
        <v>7</v>
      </c>
      <c r="F228">
        <v>20.05</v>
      </c>
      <c r="G228" t="s">
        <v>41</v>
      </c>
      <c r="H228" t="s">
        <v>70</v>
      </c>
      <c r="I228" t="s">
        <v>17</v>
      </c>
      <c r="J228" t="b">
        <v>1</v>
      </c>
      <c r="K228" t="s">
        <v>62</v>
      </c>
      <c r="L228" t="s">
        <v>19</v>
      </c>
      <c r="M228" t="s">
        <v>43</v>
      </c>
      <c r="N228">
        <f>YEAR(Table1[[#This Row],[Date]])</f>
        <v>2022</v>
      </c>
      <c r="O228" t="str">
        <f>TEXT(Table1[[#This Row],[Date]],"mmm")</f>
        <v>Nov</v>
      </c>
      <c r="P228" t="str">
        <f>IF(Table1[[#This Row],[Total_Cost]]&lt;25,"low",IF(Table1[[#This Row],[Total_Cost]]&lt;60,"medium","high"))</f>
        <v>low</v>
      </c>
      <c r="Q228" t="str">
        <f>IF(Table1[[#This Row],[Discount_Applied]]=TRUE,"discount applied","no discount")</f>
        <v>discount applied</v>
      </c>
    </row>
    <row r="229" spans="1:17" x14ac:dyDescent="0.3">
      <c r="A229">
        <v>1000000227</v>
      </c>
      <c r="B229" s="1">
        <v>43876.379965277774</v>
      </c>
      <c r="C229" t="s">
        <v>494</v>
      </c>
      <c r="D229" t="s">
        <v>495</v>
      </c>
      <c r="E229">
        <v>2</v>
      </c>
      <c r="F229">
        <v>11.27</v>
      </c>
      <c r="G229" t="s">
        <v>23</v>
      </c>
      <c r="H229" t="s">
        <v>24</v>
      </c>
      <c r="I229" t="s">
        <v>33</v>
      </c>
      <c r="J229" t="b">
        <v>1</v>
      </c>
      <c r="K229" t="s">
        <v>80</v>
      </c>
      <c r="L229" t="s">
        <v>19</v>
      </c>
      <c r="M229" t="s">
        <v>28</v>
      </c>
      <c r="N229">
        <f>YEAR(Table1[[#This Row],[Date]])</f>
        <v>2020</v>
      </c>
      <c r="O229" t="str">
        <f>TEXT(Table1[[#This Row],[Date]],"mmm")</f>
        <v>Feb</v>
      </c>
      <c r="P229" t="str">
        <f>IF(Table1[[#This Row],[Total_Cost]]&lt;25,"low",IF(Table1[[#This Row],[Total_Cost]]&lt;60,"medium","high"))</f>
        <v>low</v>
      </c>
      <c r="Q229" t="str">
        <f>IF(Table1[[#This Row],[Discount_Applied]]=TRUE,"discount applied","no discount")</f>
        <v>discount applied</v>
      </c>
    </row>
    <row r="230" spans="1:17" x14ac:dyDescent="0.3">
      <c r="A230">
        <v>1000000228</v>
      </c>
      <c r="B230" s="1">
        <v>44248.898576388892</v>
      </c>
      <c r="C230" t="s">
        <v>496</v>
      </c>
      <c r="D230" t="s">
        <v>497</v>
      </c>
      <c r="E230">
        <v>9</v>
      </c>
      <c r="F230">
        <v>37.450000000000003</v>
      </c>
      <c r="G230" t="s">
        <v>23</v>
      </c>
      <c r="H230" t="s">
        <v>129</v>
      </c>
      <c r="I230" t="s">
        <v>59</v>
      </c>
      <c r="J230" t="b">
        <v>0</v>
      </c>
      <c r="K230" t="s">
        <v>18</v>
      </c>
      <c r="L230" t="s">
        <v>19</v>
      </c>
      <c r="M230" t="s">
        <v>43</v>
      </c>
      <c r="N230">
        <f>YEAR(Table1[[#This Row],[Date]])</f>
        <v>2021</v>
      </c>
      <c r="O230" t="str">
        <f>TEXT(Table1[[#This Row],[Date]],"mmm")</f>
        <v>Feb</v>
      </c>
      <c r="P230" t="str">
        <f>IF(Table1[[#This Row],[Total_Cost]]&lt;25,"low",IF(Table1[[#This Row],[Total_Cost]]&lt;60,"medium","high"))</f>
        <v>medium</v>
      </c>
      <c r="Q230" t="str">
        <f>IF(Table1[[#This Row],[Discount_Applied]]=TRUE,"discount applied","no discount")</f>
        <v>no discount</v>
      </c>
    </row>
    <row r="231" spans="1:17" x14ac:dyDescent="0.3">
      <c r="A231">
        <v>1000000229</v>
      </c>
      <c r="B231" s="1">
        <v>44387.75408564815</v>
      </c>
      <c r="C231" t="s">
        <v>498</v>
      </c>
      <c r="D231" t="s">
        <v>499</v>
      </c>
      <c r="E231">
        <v>10</v>
      </c>
      <c r="F231">
        <v>64.569999999999993</v>
      </c>
      <c r="G231" t="s">
        <v>31</v>
      </c>
      <c r="H231" t="s">
        <v>24</v>
      </c>
      <c r="I231" t="s">
        <v>33</v>
      </c>
      <c r="J231" t="b">
        <v>1</v>
      </c>
      <c r="K231" t="s">
        <v>87</v>
      </c>
      <c r="L231" t="s">
        <v>27</v>
      </c>
      <c r="M231" t="s">
        <v>20</v>
      </c>
      <c r="N231">
        <f>YEAR(Table1[[#This Row],[Date]])</f>
        <v>2021</v>
      </c>
      <c r="O231" t="str">
        <f>TEXT(Table1[[#This Row],[Date]],"mmm")</f>
        <v>Jul</v>
      </c>
      <c r="P231" t="str">
        <f>IF(Table1[[#This Row],[Total_Cost]]&lt;25,"low",IF(Table1[[#This Row],[Total_Cost]]&lt;60,"medium","high"))</f>
        <v>high</v>
      </c>
      <c r="Q231" t="str">
        <f>IF(Table1[[#This Row],[Discount_Applied]]=TRUE,"discount applied","no discount")</f>
        <v>discount applied</v>
      </c>
    </row>
    <row r="232" spans="1:17" x14ac:dyDescent="0.3">
      <c r="A232">
        <v>1000000230</v>
      </c>
      <c r="B232" s="1">
        <v>44696.563020833331</v>
      </c>
      <c r="C232" t="s">
        <v>500</v>
      </c>
      <c r="D232" t="s">
        <v>501</v>
      </c>
      <c r="E232">
        <v>2</v>
      </c>
      <c r="F232">
        <v>68.41</v>
      </c>
      <c r="G232" t="s">
        <v>41</v>
      </c>
      <c r="H232" t="s">
        <v>96</v>
      </c>
      <c r="I232" t="s">
        <v>25</v>
      </c>
      <c r="J232" t="b">
        <v>0</v>
      </c>
      <c r="K232" t="s">
        <v>42</v>
      </c>
      <c r="L232" t="s">
        <v>27</v>
      </c>
      <c r="M232" t="s">
        <v>28</v>
      </c>
      <c r="N232">
        <f>YEAR(Table1[[#This Row],[Date]])</f>
        <v>2022</v>
      </c>
      <c r="O232" t="str">
        <f>TEXT(Table1[[#This Row],[Date]],"mmm")</f>
        <v>May</v>
      </c>
      <c r="P232" t="str">
        <f>IF(Table1[[#This Row],[Total_Cost]]&lt;25,"low",IF(Table1[[#This Row],[Total_Cost]]&lt;60,"medium","high"))</f>
        <v>high</v>
      </c>
      <c r="Q232" t="str">
        <f>IF(Table1[[#This Row],[Discount_Applied]]=TRUE,"discount applied","no discount")</f>
        <v>no discount</v>
      </c>
    </row>
    <row r="233" spans="1:17" x14ac:dyDescent="0.3">
      <c r="A233">
        <v>1000000231</v>
      </c>
      <c r="B233" s="1">
        <v>44819.812569444446</v>
      </c>
      <c r="C233" t="s">
        <v>502</v>
      </c>
      <c r="D233" t="s">
        <v>503</v>
      </c>
      <c r="E233">
        <v>7</v>
      </c>
      <c r="F233">
        <v>83.52</v>
      </c>
      <c r="G233" t="s">
        <v>23</v>
      </c>
      <c r="H233" t="s">
        <v>24</v>
      </c>
      <c r="I233" t="s">
        <v>17</v>
      </c>
      <c r="J233" t="b">
        <v>1</v>
      </c>
      <c r="K233" t="s">
        <v>42</v>
      </c>
      <c r="L233" t="s">
        <v>38</v>
      </c>
      <c r="M233" t="s">
        <v>20</v>
      </c>
      <c r="N233">
        <f>YEAR(Table1[[#This Row],[Date]])</f>
        <v>2022</v>
      </c>
      <c r="O233" t="str">
        <f>TEXT(Table1[[#This Row],[Date]],"mmm")</f>
        <v>Sep</v>
      </c>
      <c r="P233" t="str">
        <f>IF(Table1[[#This Row],[Total_Cost]]&lt;25,"low",IF(Table1[[#This Row],[Total_Cost]]&lt;60,"medium","high"))</f>
        <v>high</v>
      </c>
      <c r="Q233" t="str">
        <f>IF(Table1[[#This Row],[Discount_Applied]]=TRUE,"discount applied","no discount")</f>
        <v>discount applied</v>
      </c>
    </row>
    <row r="234" spans="1:17" x14ac:dyDescent="0.3">
      <c r="A234">
        <v>1000000232</v>
      </c>
      <c r="B234" s="1">
        <v>44389.806307870371</v>
      </c>
      <c r="C234" t="s">
        <v>504</v>
      </c>
      <c r="D234" t="s">
        <v>505</v>
      </c>
      <c r="E234">
        <v>6</v>
      </c>
      <c r="F234">
        <v>89.63</v>
      </c>
      <c r="G234" t="s">
        <v>41</v>
      </c>
      <c r="H234" t="s">
        <v>24</v>
      </c>
      <c r="I234" t="s">
        <v>59</v>
      </c>
      <c r="J234" t="b">
        <v>0</v>
      </c>
      <c r="K234" t="s">
        <v>51</v>
      </c>
      <c r="L234" t="s">
        <v>38</v>
      </c>
      <c r="M234" t="s">
        <v>20</v>
      </c>
      <c r="N234">
        <f>YEAR(Table1[[#This Row],[Date]])</f>
        <v>2021</v>
      </c>
      <c r="O234" t="str">
        <f>TEXT(Table1[[#This Row],[Date]],"mmm")</f>
        <v>Jul</v>
      </c>
      <c r="P234" t="str">
        <f>IF(Table1[[#This Row],[Total_Cost]]&lt;25,"low",IF(Table1[[#This Row],[Total_Cost]]&lt;60,"medium","high"))</f>
        <v>high</v>
      </c>
      <c r="Q234" t="str">
        <f>IF(Table1[[#This Row],[Discount_Applied]]=TRUE,"discount applied","no discount")</f>
        <v>no discount</v>
      </c>
    </row>
    <row r="235" spans="1:17" x14ac:dyDescent="0.3">
      <c r="A235">
        <v>1000000233</v>
      </c>
      <c r="B235" s="1">
        <v>45040.173009259262</v>
      </c>
      <c r="C235" t="s">
        <v>506</v>
      </c>
      <c r="D235" t="s">
        <v>507</v>
      </c>
      <c r="E235">
        <v>4</v>
      </c>
      <c r="F235">
        <v>98.79</v>
      </c>
      <c r="G235" t="s">
        <v>23</v>
      </c>
      <c r="H235" t="s">
        <v>70</v>
      </c>
      <c r="I235" t="s">
        <v>59</v>
      </c>
      <c r="J235" t="b">
        <v>0</v>
      </c>
      <c r="K235" t="s">
        <v>42</v>
      </c>
      <c r="L235" t="s">
        <v>52</v>
      </c>
      <c r="M235" t="s">
        <v>28</v>
      </c>
      <c r="N235">
        <f>YEAR(Table1[[#This Row],[Date]])</f>
        <v>2023</v>
      </c>
      <c r="O235" t="str">
        <f>TEXT(Table1[[#This Row],[Date]],"mmm")</f>
        <v>Apr</v>
      </c>
      <c r="P235" t="str">
        <f>IF(Table1[[#This Row],[Total_Cost]]&lt;25,"low",IF(Table1[[#This Row],[Total_Cost]]&lt;60,"medium","high"))</f>
        <v>high</v>
      </c>
      <c r="Q235" t="str">
        <f>IF(Table1[[#This Row],[Discount_Applied]]=TRUE,"discount applied","no discount")</f>
        <v>no discount</v>
      </c>
    </row>
    <row r="236" spans="1:17" x14ac:dyDescent="0.3">
      <c r="A236">
        <v>1000000234</v>
      </c>
      <c r="B236" s="1">
        <v>45055.320960648147</v>
      </c>
      <c r="C236" t="s">
        <v>508</v>
      </c>
      <c r="D236" t="s">
        <v>509</v>
      </c>
      <c r="E236">
        <v>6</v>
      </c>
      <c r="F236">
        <v>96.7</v>
      </c>
      <c r="G236" t="s">
        <v>31</v>
      </c>
      <c r="H236" t="s">
        <v>32</v>
      </c>
      <c r="I236" t="s">
        <v>59</v>
      </c>
      <c r="J236" t="b">
        <v>1</v>
      </c>
      <c r="K236" t="s">
        <v>42</v>
      </c>
      <c r="L236" t="s">
        <v>52</v>
      </c>
      <c r="M236" t="s">
        <v>20</v>
      </c>
      <c r="N236">
        <f>YEAR(Table1[[#This Row],[Date]])</f>
        <v>2023</v>
      </c>
      <c r="O236" t="str">
        <f>TEXT(Table1[[#This Row],[Date]],"mmm")</f>
        <v>May</v>
      </c>
      <c r="P236" t="str">
        <f>IF(Table1[[#This Row],[Total_Cost]]&lt;25,"low",IF(Table1[[#This Row],[Total_Cost]]&lt;60,"medium","high"))</f>
        <v>high</v>
      </c>
      <c r="Q236" t="str">
        <f>IF(Table1[[#This Row],[Discount_Applied]]=TRUE,"discount applied","no discount")</f>
        <v>discount applied</v>
      </c>
    </row>
    <row r="237" spans="1:17" x14ac:dyDescent="0.3">
      <c r="A237">
        <v>1000000235</v>
      </c>
      <c r="B237" s="1">
        <v>45266.941817129627</v>
      </c>
      <c r="C237" t="s">
        <v>510</v>
      </c>
      <c r="D237" t="s">
        <v>511</v>
      </c>
      <c r="E237">
        <v>10</v>
      </c>
      <c r="F237">
        <v>69.010000000000005</v>
      </c>
      <c r="G237" t="s">
        <v>15</v>
      </c>
      <c r="H237" t="s">
        <v>36</v>
      </c>
      <c r="I237" t="s">
        <v>25</v>
      </c>
      <c r="J237" t="b">
        <v>1</v>
      </c>
      <c r="K237" t="s">
        <v>18</v>
      </c>
      <c r="L237" t="s">
        <v>27</v>
      </c>
      <c r="M237" t="s">
        <v>20</v>
      </c>
      <c r="N237">
        <f>YEAR(Table1[[#This Row],[Date]])</f>
        <v>2023</v>
      </c>
      <c r="O237" t="str">
        <f>TEXT(Table1[[#This Row],[Date]],"mmm")</f>
        <v>Dec</v>
      </c>
      <c r="P237" t="str">
        <f>IF(Table1[[#This Row],[Total_Cost]]&lt;25,"low",IF(Table1[[#This Row],[Total_Cost]]&lt;60,"medium","high"))</f>
        <v>high</v>
      </c>
      <c r="Q237" t="str">
        <f>IF(Table1[[#This Row],[Discount_Applied]]=TRUE,"discount applied","no discount")</f>
        <v>discount applied</v>
      </c>
    </row>
    <row r="238" spans="1:17" x14ac:dyDescent="0.3">
      <c r="A238">
        <v>1000000236</v>
      </c>
      <c r="B238" s="1">
        <v>45131.18273148148</v>
      </c>
      <c r="C238" t="s">
        <v>512</v>
      </c>
      <c r="D238" t="s">
        <v>513</v>
      </c>
      <c r="E238">
        <v>2</v>
      </c>
      <c r="F238">
        <v>48.93</v>
      </c>
      <c r="G238" t="s">
        <v>15</v>
      </c>
      <c r="H238" t="s">
        <v>77</v>
      </c>
      <c r="I238" t="s">
        <v>37</v>
      </c>
      <c r="J238" t="b">
        <v>1</v>
      </c>
      <c r="K238" t="s">
        <v>62</v>
      </c>
      <c r="L238" t="s">
        <v>19</v>
      </c>
      <c r="M238" t="s">
        <v>20</v>
      </c>
      <c r="N238">
        <f>YEAR(Table1[[#This Row],[Date]])</f>
        <v>2023</v>
      </c>
      <c r="O238" t="str">
        <f>TEXT(Table1[[#This Row],[Date]],"mmm")</f>
        <v>Jul</v>
      </c>
      <c r="P238" t="str">
        <f>IF(Table1[[#This Row],[Total_Cost]]&lt;25,"low",IF(Table1[[#This Row],[Total_Cost]]&lt;60,"medium","high"))</f>
        <v>medium</v>
      </c>
      <c r="Q238" t="str">
        <f>IF(Table1[[#This Row],[Discount_Applied]]=TRUE,"discount applied","no discount")</f>
        <v>discount applied</v>
      </c>
    </row>
    <row r="239" spans="1:17" x14ac:dyDescent="0.3">
      <c r="A239">
        <v>1000000237</v>
      </c>
      <c r="B239" s="1">
        <v>45264.559710648151</v>
      </c>
      <c r="C239" t="s">
        <v>514</v>
      </c>
      <c r="D239" t="s">
        <v>515</v>
      </c>
      <c r="E239">
        <v>4</v>
      </c>
      <c r="F239">
        <v>30.54</v>
      </c>
      <c r="G239" t="s">
        <v>15</v>
      </c>
      <c r="H239" t="s">
        <v>70</v>
      </c>
      <c r="I239" t="s">
        <v>46</v>
      </c>
      <c r="J239" t="b">
        <v>1</v>
      </c>
      <c r="K239" t="s">
        <v>80</v>
      </c>
      <c r="L239" t="s">
        <v>19</v>
      </c>
      <c r="M239" t="s">
        <v>43</v>
      </c>
      <c r="N239">
        <f>YEAR(Table1[[#This Row],[Date]])</f>
        <v>2023</v>
      </c>
      <c r="O239" t="str">
        <f>TEXT(Table1[[#This Row],[Date]],"mmm")</f>
        <v>Dec</v>
      </c>
      <c r="P239" t="str">
        <f>IF(Table1[[#This Row],[Total_Cost]]&lt;25,"low",IF(Table1[[#This Row],[Total_Cost]]&lt;60,"medium","high"))</f>
        <v>medium</v>
      </c>
      <c r="Q239" t="str">
        <f>IF(Table1[[#This Row],[Discount_Applied]]=TRUE,"discount applied","no discount")</f>
        <v>discount applied</v>
      </c>
    </row>
    <row r="240" spans="1:17" x14ac:dyDescent="0.3">
      <c r="A240">
        <v>1000000238</v>
      </c>
      <c r="B240" s="1">
        <v>45041.415254629632</v>
      </c>
      <c r="C240" t="s">
        <v>516</v>
      </c>
      <c r="D240" t="s">
        <v>517</v>
      </c>
      <c r="E240">
        <v>5</v>
      </c>
      <c r="F240">
        <v>96.3</v>
      </c>
      <c r="G240" t="s">
        <v>23</v>
      </c>
      <c r="H240" t="s">
        <v>77</v>
      </c>
      <c r="I240" t="s">
        <v>46</v>
      </c>
      <c r="J240" t="b">
        <v>0</v>
      </c>
      <c r="K240" t="s">
        <v>80</v>
      </c>
      <c r="L240" t="s">
        <v>38</v>
      </c>
      <c r="M240" t="s">
        <v>20</v>
      </c>
      <c r="N240">
        <f>YEAR(Table1[[#This Row],[Date]])</f>
        <v>2023</v>
      </c>
      <c r="O240" t="str">
        <f>TEXT(Table1[[#This Row],[Date]],"mmm")</f>
        <v>Apr</v>
      </c>
      <c r="P240" t="str">
        <f>IF(Table1[[#This Row],[Total_Cost]]&lt;25,"low",IF(Table1[[#This Row],[Total_Cost]]&lt;60,"medium","high"))</f>
        <v>high</v>
      </c>
      <c r="Q240" t="str">
        <f>IF(Table1[[#This Row],[Discount_Applied]]=TRUE,"discount applied","no discount")</f>
        <v>no discount</v>
      </c>
    </row>
    <row r="241" spans="1:17" x14ac:dyDescent="0.3">
      <c r="A241">
        <v>1000000239</v>
      </c>
      <c r="B241" s="1">
        <v>44804.946435185186</v>
      </c>
      <c r="C241" t="s">
        <v>518</v>
      </c>
      <c r="D241" t="s">
        <v>151</v>
      </c>
      <c r="E241">
        <v>10</v>
      </c>
      <c r="F241">
        <v>46.3</v>
      </c>
      <c r="G241" t="s">
        <v>15</v>
      </c>
      <c r="H241" t="s">
        <v>36</v>
      </c>
      <c r="I241" t="s">
        <v>17</v>
      </c>
      <c r="J241" t="b">
        <v>0</v>
      </c>
      <c r="K241" t="s">
        <v>51</v>
      </c>
      <c r="L241" t="s">
        <v>52</v>
      </c>
      <c r="M241" t="s">
        <v>43</v>
      </c>
      <c r="N241">
        <f>YEAR(Table1[[#This Row],[Date]])</f>
        <v>2022</v>
      </c>
      <c r="O241" t="str">
        <f>TEXT(Table1[[#This Row],[Date]],"mmm")</f>
        <v>Aug</v>
      </c>
      <c r="P241" t="str">
        <f>IF(Table1[[#This Row],[Total_Cost]]&lt;25,"low",IF(Table1[[#This Row],[Total_Cost]]&lt;60,"medium","high"))</f>
        <v>medium</v>
      </c>
      <c r="Q241" t="str">
        <f>IF(Table1[[#This Row],[Discount_Applied]]=TRUE,"discount applied","no discount")</f>
        <v>no discount</v>
      </c>
    </row>
    <row r="242" spans="1:17" x14ac:dyDescent="0.3">
      <c r="A242">
        <v>1000000240</v>
      </c>
      <c r="B242" s="1">
        <v>44886.33216435185</v>
      </c>
      <c r="C242" t="s">
        <v>519</v>
      </c>
      <c r="D242" t="s">
        <v>520</v>
      </c>
      <c r="E242">
        <v>9</v>
      </c>
      <c r="F242">
        <v>57.15</v>
      </c>
      <c r="G242" t="s">
        <v>23</v>
      </c>
      <c r="H242" t="s">
        <v>96</v>
      </c>
      <c r="I242" t="s">
        <v>33</v>
      </c>
      <c r="J242" t="b">
        <v>0</v>
      </c>
      <c r="K242" t="s">
        <v>47</v>
      </c>
      <c r="L242" t="s">
        <v>52</v>
      </c>
      <c r="M242" t="s">
        <v>43</v>
      </c>
      <c r="N242">
        <f>YEAR(Table1[[#This Row],[Date]])</f>
        <v>2022</v>
      </c>
      <c r="O242" t="str">
        <f>TEXT(Table1[[#This Row],[Date]],"mmm")</f>
        <v>Nov</v>
      </c>
      <c r="P242" t="str">
        <f>IF(Table1[[#This Row],[Total_Cost]]&lt;25,"low",IF(Table1[[#This Row],[Total_Cost]]&lt;60,"medium","high"))</f>
        <v>medium</v>
      </c>
      <c r="Q242" t="str">
        <f>IF(Table1[[#This Row],[Discount_Applied]]=TRUE,"discount applied","no discount")</f>
        <v>no discount</v>
      </c>
    </row>
    <row r="243" spans="1:17" x14ac:dyDescent="0.3">
      <c r="A243">
        <v>1000000241</v>
      </c>
      <c r="B243" s="1">
        <v>44898.113194444442</v>
      </c>
      <c r="C243" t="s">
        <v>521</v>
      </c>
      <c r="D243" t="s">
        <v>522</v>
      </c>
      <c r="E243">
        <v>2</v>
      </c>
      <c r="F243">
        <v>26.07</v>
      </c>
      <c r="G243" t="s">
        <v>41</v>
      </c>
      <c r="H243" t="s">
        <v>24</v>
      </c>
      <c r="I243" t="s">
        <v>46</v>
      </c>
      <c r="J243" t="b">
        <v>1</v>
      </c>
      <c r="K243" t="s">
        <v>62</v>
      </c>
      <c r="L243" t="s">
        <v>19</v>
      </c>
      <c r="M243" t="s">
        <v>20</v>
      </c>
      <c r="N243">
        <f>YEAR(Table1[[#This Row],[Date]])</f>
        <v>2022</v>
      </c>
      <c r="O243" t="str">
        <f>TEXT(Table1[[#This Row],[Date]],"mmm")</f>
        <v>Dec</v>
      </c>
      <c r="P243" t="str">
        <f>IF(Table1[[#This Row],[Total_Cost]]&lt;25,"low",IF(Table1[[#This Row],[Total_Cost]]&lt;60,"medium","high"))</f>
        <v>medium</v>
      </c>
      <c r="Q243" t="str">
        <f>IF(Table1[[#This Row],[Discount_Applied]]=TRUE,"discount applied","no discount")</f>
        <v>discount applied</v>
      </c>
    </row>
    <row r="244" spans="1:17" x14ac:dyDescent="0.3">
      <c r="A244">
        <v>1000000242</v>
      </c>
      <c r="B244" s="1">
        <v>43941.104421296295</v>
      </c>
      <c r="C244" t="s">
        <v>523</v>
      </c>
      <c r="D244" t="s">
        <v>524</v>
      </c>
      <c r="E244">
        <v>2</v>
      </c>
      <c r="F244">
        <v>63.6</v>
      </c>
      <c r="G244" t="s">
        <v>15</v>
      </c>
      <c r="H244" t="s">
        <v>36</v>
      </c>
      <c r="I244" t="s">
        <v>17</v>
      </c>
      <c r="J244" t="b">
        <v>1</v>
      </c>
      <c r="K244" t="s">
        <v>87</v>
      </c>
      <c r="L244" t="s">
        <v>19</v>
      </c>
      <c r="M244" t="s">
        <v>20</v>
      </c>
      <c r="N244">
        <f>YEAR(Table1[[#This Row],[Date]])</f>
        <v>2020</v>
      </c>
      <c r="O244" t="str">
        <f>TEXT(Table1[[#This Row],[Date]],"mmm")</f>
        <v>Apr</v>
      </c>
      <c r="P244" t="str">
        <f>IF(Table1[[#This Row],[Total_Cost]]&lt;25,"low",IF(Table1[[#This Row],[Total_Cost]]&lt;60,"medium","high"))</f>
        <v>high</v>
      </c>
      <c r="Q244" t="str">
        <f>IF(Table1[[#This Row],[Discount_Applied]]=TRUE,"discount applied","no discount")</f>
        <v>discount applied</v>
      </c>
    </row>
    <row r="245" spans="1:17" x14ac:dyDescent="0.3">
      <c r="A245">
        <v>1000000243</v>
      </c>
      <c r="B245" s="1">
        <v>43901.773182870369</v>
      </c>
      <c r="C245" t="s">
        <v>525</v>
      </c>
      <c r="D245" t="s">
        <v>526</v>
      </c>
      <c r="E245">
        <v>8</v>
      </c>
      <c r="F245">
        <v>40.369999999999997</v>
      </c>
      <c r="G245" t="s">
        <v>15</v>
      </c>
      <c r="H245" t="s">
        <v>96</v>
      </c>
      <c r="I245" t="s">
        <v>33</v>
      </c>
      <c r="J245" t="b">
        <v>1</v>
      </c>
      <c r="K245" t="s">
        <v>42</v>
      </c>
      <c r="L245" t="s">
        <v>27</v>
      </c>
      <c r="M245" t="s">
        <v>20</v>
      </c>
      <c r="N245">
        <f>YEAR(Table1[[#This Row],[Date]])</f>
        <v>2020</v>
      </c>
      <c r="O245" t="str">
        <f>TEXT(Table1[[#This Row],[Date]],"mmm")</f>
        <v>Mar</v>
      </c>
      <c r="P245" t="str">
        <f>IF(Table1[[#This Row],[Total_Cost]]&lt;25,"low",IF(Table1[[#This Row],[Total_Cost]]&lt;60,"medium","high"))</f>
        <v>medium</v>
      </c>
      <c r="Q245" t="str">
        <f>IF(Table1[[#This Row],[Discount_Applied]]=TRUE,"discount applied","no discount")</f>
        <v>discount applied</v>
      </c>
    </row>
    <row r="246" spans="1:17" x14ac:dyDescent="0.3">
      <c r="A246">
        <v>1000000244</v>
      </c>
      <c r="B246" s="1">
        <v>44652.485081018516</v>
      </c>
      <c r="C246" t="s">
        <v>527</v>
      </c>
      <c r="D246" t="s">
        <v>528</v>
      </c>
      <c r="E246">
        <v>3</v>
      </c>
      <c r="F246">
        <v>73.400000000000006</v>
      </c>
      <c r="G246" t="s">
        <v>41</v>
      </c>
      <c r="H246" t="s">
        <v>16</v>
      </c>
      <c r="I246" t="s">
        <v>46</v>
      </c>
      <c r="J246" t="b">
        <v>1</v>
      </c>
      <c r="K246" t="s">
        <v>26</v>
      </c>
      <c r="L246" t="s">
        <v>19</v>
      </c>
      <c r="M246" t="s">
        <v>28</v>
      </c>
      <c r="N246">
        <f>YEAR(Table1[[#This Row],[Date]])</f>
        <v>2022</v>
      </c>
      <c r="O246" t="str">
        <f>TEXT(Table1[[#This Row],[Date]],"mmm")</f>
        <v>Apr</v>
      </c>
      <c r="P246" t="str">
        <f>IF(Table1[[#This Row],[Total_Cost]]&lt;25,"low",IF(Table1[[#This Row],[Total_Cost]]&lt;60,"medium","high"))</f>
        <v>high</v>
      </c>
      <c r="Q246" t="str">
        <f>IF(Table1[[#This Row],[Discount_Applied]]=TRUE,"discount applied","no discount")</f>
        <v>discount applied</v>
      </c>
    </row>
    <row r="247" spans="1:17" x14ac:dyDescent="0.3">
      <c r="A247">
        <v>1000000245</v>
      </c>
      <c r="B247" s="1">
        <v>44911.451840277776</v>
      </c>
      <c r="C247" t="s">
        <v>529</v>
      </c>
      <c r="D247" t="s">
        <v>530</v>
      </c>
      <c r="E247">
        <v>10</v>
      </c>
      <c r="F247">
        <v>17.670000000000002</v>
      </c>
      <c r="G247" t="s">
        <v>31</v>
      </c>
      <c r="H247" t="s">
        <v>16</v>
      </c>
      <c r="I247" t="s">
        <v>25</v>
      </c>
      <c r="J247" t="b">
        <v>1</v>
      </c>
      <c r="K247" t="s">
        <v>42</v>
      </c>
      <c r="L247" t="s">
        <v>27</v>
      </c>
      <c r="M247" t="s">
        <v>20</v>
      </c>
      <c r="N247">
        <f>YEAR(Table1[[#This Row],[Date]])</f>
        <v>2022</v>
      </c>
      <c r="O247" t="str">
        <f>TEXT(Table1[[#This Row],[Date]],"mmm")</f>
        <v>Dec</v>
      </c>
      <c r="P247" t="str">
        <f>IF(Table1[[#This Row],[Total_Cost]]&lt;25,"low",IF(Table1[[#This Row],[Total_Cost]]&lt;60,"medium","high"))</f>
        <v>low</v>
      </c>
      <c r="Q247" t="str">
        <f>IF(Table1[[#This Row],[Discount_Applied]]=TRUE,"discount applied","no discount")</f>
        <v>discount applied</v>
      </c>
    </row>
    <row r="248" spans="1:17" x14ac:dyDescent="0.3">
      <c r="A248">
        <v>1000000246</v>
      </c>
      <c r="B248" s="1">
        <v>44496.594571759262</v>
      </c>
      <c r="C248" t="s">
        <v>531</v>
      </c>
      <c r="D248" t="s">
        <v>532</v>
      </c>
      <c r="E248">
        <v>3</v>
      </c>
      <c r="F248">
        <v>78.540000000000006</v>
      </c>
      <c r="G248" t="s">
        <v>15</v>
      </c>
      <c r="H248" t="s">
        <v>77</v>
      </c>
      <c r="I248" t="s">
        <v>33</v>
      </c>
      <c r="J248" t="b">
        <v>1</v>
      </c>
      <c r="K248" t="s">
        <v>42</v>
      </c>
      <c r="L248" t="s">
        <v>38</v>
      </c>
      <c r="M248" t="s">
        <v>28</v>
      </c>
      <c r="N248">
        <f>YEAR(Table1[[#This Row],[Date]])</f>
        <v>2021</v>
      </c>
      <c r="O248" t="str">
        <f>TEXT(Table1[[#This Row],[Date]],"mmm")</f>
        <v>Oct</v>
      </c>
      <c r="P248" t="str">
        <f>IF(Table1[[#This Row],[Total_Cost]]&lt;25,"low",IF(Table1[[#This Row],[Total_Cost]]&lt;60,"medium","high"))</f>
        <v>high</v>
      </c>
      <c r="Q248" t="str">
        <f>IF(Table1[[#This Row],[Discount_Applied]]=TRUE,"discount applied","no discount")</f>
        <v>discount applied</v>
      </c>
    </row>
    <row r="249" spans="1:17" x14ac:dyDescent="0.3">
      <c r="A249">
        <v>1000000247</v>
      </c>
      <c r="B249" s="1">
        <v>45034.614189814813</v>
      </c>
      <c r="C249" t="s">
        <v>533</v>
      </c>
      <c r="D249" t="s">
        <v>534</v>
      </c>
      <c r="E249">
        <v>6</v>
      </c>
      <c r="F249">
        <v>51.17</v>
      </c>
      <c r="G249" t="s">
        <v>41</v>
      </c>
      <c r="H249" t="s">
        <v>32</v>
      </c>
      <c r="I249" t="s">
        <v>25</v>
      </c>
      <c r="J249" t="b">
        <v>1</v>
      </c>
      <c r="K249" t="s">
        <v>47</v>
      </c>
      <c r="L249" t="s">
        <v>38</v>
      </c>
      <c r="M249" t="s">
        <v>43</v>
      </c>
      <c r="N249">
        <f>YEAR(Table1[[#This Row],[Date]])</f>
        <v>2023</v>
      </c>
      <c r="O249" t="str">
        <f>TEXT(Table1[[#This Row],[Date]],"mmm")</f>
        <v>Apr</v>
      </c>
      <c r="P249" t="str">
        <f>IF(Table1[[#This Row],[Total_Cost]]&lt;25,"low",IF(Table1[[#This Row],[Total_Cost]]&lt;60,"medium","high"))</f>
        <v>medium</v>
      </c>
      <c r="Q249" t="str">
        <f>IF(Table1[[#This Row],[Discount_Applied]]=TRUE,"discount applied","no discount")</f>
        <v>discount applied</v>
      </c>
    </row>
    <row r="250" spans="1:17" x14ac:dyDescent="0.3">
      <c r="A250">
        <v>1000000248</v>
      </c>
      <c r="B250" s="1">
        <v>44159.865995370368</v>
      </c>
      <c r="C250" t="s">
        <v>535</v>
      </c>
      <c r="D250" t="s">
        <v>536</v>
      </c>
      <c r="E250">
        <v>1</v>
      </c>
      <c r="F250">
        <v>70.510000000000005</v>
      </c>
      <c r="G250" t="s">
        <v>23</v>
      </c>
      <c r="H250" t="s">
        <v>77</v>
      </c>
      <c r="I250" t="s">
        <v>37</v>
      </c>
      <c r="J250" t="b">
        <v>0</v>
      </c>
      <c r="K250" t="s">
        <v>18</v>
      </c>
      <c r="L250" t="s">
        <v>52</v>
      </c>
      <c r="M250" t="s">
        <v>28</v>
      </c>
      <c r="N250">
        <f>YEAR(Table1[[#This Row],[Date]])</f>
        <v>2020</v>
      </c>
      <c r="O250" t="str">
        <f>TEXT(Table1[[#This Row],[Date]],"mmm")</f>
        <v>Nov</v>
      </c>
      <c r="P250" t="str">
        <f>IF(Table1[[#This Row],[Total_Cost]]&lt;25,"low",IF(Table1[[#This Row],[Total_Cost]]&lt;60,"medium","high"))</f>
        <v>high</v>
      </c>
      <c r="Q250" t="str">
        <f>IF(Table1[[#This Row],[Discount_Applied]]=TRUE,"discount applied","no discount")</f>
        <v>no discount</v>
      </c>
    </row>
    <row r="251" spans="1:17" x14ac:dyDescent="0.3">
      <c r="A251">
        <v>1000000249</v>
      </c>
      <c r="B251" s="1">
        <v>44302.496863425928</v>
      </c>
      <c r="C251" t="s">
        <v>537</v>
      </c>
      <c r="D251" t="s">
        <v>538</v>
      </c>
      <c r="E251">
        <v>10</v>
      </c>
      <c r="F251">
        <v>59.67</v>
      </c>
      <c r="G251" t="s">
        <v>23</v>
      </c>
      <c r="H251" t="s">
        <v>129</v>
      </c>
      <c r="I251" t="s">
        <v>25</v>
      </c>
      <c r="J251" t="b">
        <v>1</v>
      </c>
      <c r="K251" t="s">
        <v>18</v>
      </c>
      <c r="L251" t="s">
        <v>27</v>
      </c>
      <c r="M251" t="s">
        <v>20</v>
      </c>
      <c r="N251">
        <f>YEAR(Table1[[#This Row],[Date]])</f>
        <v>2021</v>
      </c>
      <c r="O251" t="str">
        <f>TEXT(Table1[[#This Row],[Date]],"mmm")</f>
        <v>Apr</v>
      </c>
      <c r="P251" t="str">
        <f>IF(Table1[[#This Row],[Total_Cost]]&lt;25,"low",IF(Table1[[#This Row],[Total_Cost]]&lt;60,"medium","high"))</f>
        <v>medium</v>
      </c>
      <c r="Q251" t="str">
        <f>IF(Table1[[#This Row],[Discount_Applied]]=TRUE,"discount applied","no discount")</f>
        <v>discount applied</v>
      </c>
    </row>
    <row r="252" spans="1:17" x14ac:dyDescent="0.3">
      <c r="A252">
        <v>1000000250</v>
      </c>
      <c r="B252" s="1">
        <v>45315.157025462962</v>
      </c>
      <c r="C252" t="s">
        <v>539</v>
      </c>
      <c r="D252" t="s">
        <v>540</v>
      </c>
      <c r="E252">
        <v>8</v>
      </c>
      <c r="F252">
        <v>37.950000000000003</v>
      </c>
      <c r="G252" t="s">
        <v>31</v>
      </c>
      <c r="H252" t="s">
        <v>70</v>
      </c>
      <c r="I252" t="s">
        <v>46</v>
      </c>
      <c r="J252" t="b">
        <v>0</v>
      </c>
      <c r="K252" t="s">
        <v>80</v>
      </c>
      <c r="L252" t="s">
        <v>19</v>
      </c>
      <c r="M252" t="s">
        <v>20</v>
      </c>
      <c r="N252">
        <f>YEAR(Table1[[#This Row],[Date]])</f>
        <v>2024</v>
      </c>
      <c r="O252" t="str">
        <f>TEXT(Table1[[#This Row],[Date]],"mmm")</f>
        <v>Jan</v>
      </c>
      <c r="P252" t="str">
        <f>IF(Table1[[#This Row],[Total_Cost]]&lt;25,"low",IF(Table1[[#This Row],[Total_Cost]]&lt;60,"medium","high"))</f>
        <v>medium</v>
      </c>
      <c r="Q252" t="str">
        <f>IF(Table1[[#This Row],[Discount_Applied]]=TRUE,"discount applied","no discount")</f>
        <v>no discount</v>
      </c>
    </row>
    <row r="253" spans="1:17" x14ac:dyDescent="0.3">
      <c r="A253">
        <v>1000000251</v>
      </c>
      <c r="B253" s="1">
        <v>44199.396898148145</v>
      </c>
      <c r="C253" t="s">
        <v>541</v>
      </c>
      <c r="D253" t="s">
        <v>542</v>
      </c>
      <c r="E253">
        <v>3</v>
      </c>
      <c r="F253">
        <v>32.369999999999997</v>
      </c>
      <c r="G253" t="s">
        <v>15</v>
      </c>
      <c r="H253" t="s">
        <v>16</v>
      </c>
      <c r="I253" t="s">
        <v>37</v>
      </c>
      <c r="J253" t="b">
        <v>0</v>
      </c>
      <c r="K253" t="s">
        <v>51</v>
      </c>
      <c r="L253" t="s">
        <v>19</v>
      </c>
      <c r="M253" t="s">
        <v>28</v>
      </c>
      <c r="N253">
        <f>YEAR(Table1[[#This Row],[Date]])</f>
        <v>2021</v>
      </c>
      <c r="O253" t="str">
        <f>TEXT(Table1[[#This Row],[Date]],"mmm")</f>
        <v>Jan</v>
      </c>
      <c r="P253" t="str">
        <f>IF(Table1[[#This Row],[Total_Cost]]&lt;25,"low",IF(Table1[[#This Row],[Total_Cost]]&lt;60,"medium","high"))</f>
        <v>medium</v>
      </c>
      <c r="Q253" t="str">
        <f>IF(Table1[[#This Row],[Discount_Applied]]=TRUE,"discount applied","no discount")</f>
        <v>no discount</v>
      </c>
    </row>
    <row r="254" spans="1:17" x14ac:dyDescent="0.3">
      <c r="A254">
        <v>1000000252</v>
      </c>
      <c r="B254" s="1">
        <v>44664.197604166664</v>
      </c>
      <c r="C254" t="s">
        <v>543</v>
      </c>
      <c r="D254" t="s">
        <v>544</v>
      </c>
      <c r="E254">
        <v>9</v>
      </c>
      <c r="F254">
        <v>13.02</v>
      </c>
      <c r="G254" t="s">
        <v>41</v>
      </c>
      <c r="H254" t="s">
        <v>24</v>
      </c>
      <c r="I254" t="s">
        <v>17</v>
      </c>
      <c r="J254" t="b">
        <v>0</v>
      </c>
      <c r="K254" t="s">
        <v>80</v>
      </c>
      <c r="L254" t="s">
        <v>27</v>
      </c>
      <c r="M254" t="s">
        <v>20</v>
      </c>
      <c r="N254">
        <f>YEAR(Table1[[#This Row],[Date]])</f>
        <v>2022</v>
      </c>
      <c r="O254" t="str">
        <f>TEXT(Table1[[#This Row],[Date]],"mmm")</f>
        <v>Apr</v>
      </c>
      <c r="P254" t="str">
        <f>IF(Table1[[#This Row],[Total_Cost]]&lt;25,"low",IF(Table1[[#This Row],[Total_Cost]]&lt;60,"medium","high"))</f>
        <v>low</v>
      </c>
      <c r="Q254" t="str">
        <f>IF(Table1[[#This Row],[Discount_Applied]]=TRUE,"discount applied","no discount")</f>
        <v>no discount</v>
      </c>
    </row>
    <row r="255" spans="1:17" x14ac:dyDescent="0.3">
      <c r="A255">
        <v>1000000253</v>
      </c>
      <c r="B255" s="1">
        <v>44184.120868055557</v>
      </c>
      <c r="C255" t="s">
        <v>545</v>
      </c>
      <c r="D255" t="s">
        <v>546</v>
      </c>
      <c r="E255">
        <v>7</v>
      </c>
      <c r="F255">
        <v>7.48</v>
      </c>
      <c r="G255" t="s">
        <v>15</v>
      </c>
      <c r="H255" t="s">
        <v>70</v>
      </c>
      <c r="I255" t="s">
        <v>25</v>
      </c>
      <c r="J255" t="b">
        <v>0</v>
      </c>
      <c r="K255" t="s">
        <v>26</v>
      </c>
      <c r="L255" t="s">
        <v>38</v>
      </c>
      <c r="M255" t="s">
        <v>20</v>
      </c>
      <c r="N255">
        <f>YEAR(Table1[[#This Row],[Date]])</f>
        <v>2020</v>
      </c>
      <c r="O255" t="str">
        <f>TEXT(Table1[[#This Row],[Date]],"mmm")</f>
        <v>Dec</v>
      </c>
      <c r="P255" t="str">
        <f>IF(Table1[[#This Row],[Total_Cost]]&lt;25,"low",IF(Table1[[#This Row],[Total_Cost]]&lt;60,"medium","high"))</f>
        <v>low</v>
      </c>
      <c r="Q255" t="str">
        <f>IF(Table1[[#This Row],[Discount_Applied]]=TRUE,"discount applied","no discount")</f>
        <v>no discount</v>
      </c>
    </row>
    <row r="256" spans="1:17" x14ac:dyDescent="0.3">
      <c r="A256">
        <v>1000000254</v>
      </c>
      <c r="B256" s="1">
        <v>44986.867210648146</v>
      </c>
      <c r="C256" t="s">
        <v>547</v>
      </c>
      <c r="D256" t="s">
        <v>548</v>
      </c>
      <c r="E256">
        <v>5</v>
      </c>
      <c r="F256">
        <v>52.41</v>
      </c>
      <c r="G256" t="s">
        <v>23</v>
      </c>
      <c r="H256" t="s">
        <v>16</v>
      </c>
      <c r="I256" t="s">
        <v>33</v>
      </c>
      <c r="J256" t="b">
        <v>1</v>
      </c>
      <c r="K256" t="s">
        <v>87</v>
      </c>
      <c r="L256" t="s">
        <v>19</v>
      </c>
      <c r="M256" t="s">
        <v>20</v>
      </c>
      <c r="N256">
        <f>YEAR(Table1[[#This Row],[Date]])</f>
        <v>2023</v>
      </c>
      <c r="O256" t="str">
        <f>TEXT(Table1[[#This Row],[Date]],"mmm")</f>
        <v>Mar</v>
      </c>
      <c r="P256" t="str">
        <f>IF(Table1[[#This Row],[Total_Cost]]&lt;25,"low",IF(Table1[[#This Row],[Total_Cost]]&lt;60,"medium","high"))</f>
        <v>medium</v>
      </c>
      <c r="Q256" t="str">
        <f>IF(Table1[[#This Row],[Discount_Applied]]=TRUE,"discount applied","no discount")</f>
        <v>discount applied</v>
      </c>
    </row>
    <row r="257" spans="1:17" x14ac:dyDescent="0.3">
      <c r="A257">
        <v>1000000255</v>
      </c>
      <c r="B257" s="1">
        <v>44433.487453703703</v>
      </c>
      <c r="C257" t="s">
        <v>549</v>
      </c>
      <c r="D257" t="s">
        <v>181</v>
      </c>
      <c r="E257">
        <v>6</v>
      </c>
      <c r="F257">
        <v>89.55</v>
      </c>
      <c r="G257" t="s">
        <v>15</v>
      </c>
      <c r="H257" t="s">
        <v>70</v>
      </c>
      <c r="I257" t="s">
        <v>59</v>
      </c>
      <c r="J257" t="b">
        <v>1</v>
      </c>
      <c r="K257" t="s">
        <v>51</v>
      </c>
      <c r="L257" t="s">
        <v>27</v>
      </c>
      <c r="M257" t="s">
        <v>20</v>
      </c>
      <c r="N257">
        <f>YEAR(Table1[[#This Row],[Date]])</f>
        <v>2021</v>
      </c>
      <c r="O257" t="str">
        <f>TEXT(Table1[[#This Row],[Date]],"mmm")</f>
        <v>Aug</v>
      </c>
      <c r="P257" t="str">
        <f>IF(Table1[[#This Row],[Total_Cost]]&lt;25,"low",IF(Table1[[#This Row],[Total_Cost]]&lt;60,"medium","high"))</f>
        <v>high</v>
      </c>
      <c r="Q257" t="str">
        <f>IF(Table1[[#This Row],[Discount_Applied]]=TRUE,"discount applied","no discount")</f>
        <v>discount applied</v>
      </c>
    </row>
    <row r="258" spans="1:17" x14ac:dyDescent="0.3">
      <c r="A258">
        <v>1000000256</v>
      </c>
      <c r="B258" s="1">
        <v>44612.945613425924</v>
      </c>
      <c r="C258" t="s">
        <v>550</v>
      </c>
      <c r="D258" t="s">
        <v>551</v>
      </c>
      <c r="E258">
        <v>3</v>
      </c>
      <c r="F258">
        <v>31.45</v>
      </c>
      <c r="G258" t="s">
        <v>41</v>
      </c>
      <c r="H258" t="s">
        <v>50</v>
      </c>
      <c r="I258" t="s">
        <v>59</v>
      </c>
      <c r="J258" t="b">
        <v>1</v>
      </c>
      <c r="K258" t="s">
        <v>47</v>
      </c>
      <c r="L258" t="s">
        <v>27</v>
      </c>
      <c r="M258" t="s">
        <v>28</v>
      </c>
      <c r="N258">
        <f>YEAR(Table1[[#This Row],[Date]])</f>
        <v>2022</v>
      </c>
      <c r="O258" t="str">
        <f>TEXT(Table1[[#This Row],[Date]],"mmm")</f>
        <v>Feb</v>
      </c>
      <c r="P258" t="str">
        <f>IF(Table1[[#This Row],[Total_Cost]]&lt;25,"low",IF(Table1[[#This Row],[Total_Cost]]&lt;60,"medium","high"))</f>
        <v>medium</v>
      </c>
      <c r="Q258" t="str">
        <f>IF(Table1[[#This Row],[Discount_Applied]]=TRUE,"discount applied","no discount")</f>
        <v>discount applied</v>
      </c>
    </row>
    <row r="259" spans="1:17" x14ac:dyDescent="0.3">
      <c r="A259">
        <v>1000000257</v>
      </c>
      <c r="B259" s="1">
        <v>45399.524930555555</v>
      </c>
      <c r="C259" t="s">
        <v>552</v>
      </c>
      <c r="D259" t="s">
        <v>553</v>
      </c>
      <c r="E259">
        <v>8</v>
      </c>
      <c r="F259">
        <v>83.46</v>
      </c>
      <c r="G259" t="s">
        <v>15</v>
      </c>
      <c r="H259" t="s">
        <v>96</v>
      </c>
      <c r="I259" t="s">
        <v>17</v>
      </c>
      <c r="J259" t="b">
        <v>1</v>
      </c>
      <c r="K259" t="s">
        <v>51</v>
      </c>
      <c r="L259" t="s">
        <v>27</v>
      </c>
      <c r="M259" t="s">
        <v>28</v>
      </c>
      <c r="N259">
        <f>YEAR(Table1[[#This Row],[Date]])</f>
        <v>2024</v>
      </c>
      <c r="O259" t="str">
        <f>TEXT(Table1[[#This Row],[Date]],"mmm")</f>
        <v>Apr</v>
      </c>
      <c r="P259" t="str">
        <f>IF(Table1[[#This Row],[Total_Cost]]&lt;25,"low",IF(Table1[[#This Row],[Total_Cost]]&lt;60,"medium","high"))</f>
        <v>high</v>
      </c>
      <c r="Q259" t="str">
        <f>IF(Table1[[#This Row],[Discount_Applied]]=TRUE,"discount applied","no discount")</f>
        <v>discount applied</v>
      </c>
    </row>
    <row r="260" spans="1:17" x14ac:dyDescent="0.3">
      <c r="A260">
        <v>1000000258</v>
      </c>
      <c r="B260" s="1">
        <v>44988.65216435185</v>
      </c>
      <c r="C260" t="s">
        <v>554</v>
      </c>
      <c r="D260" t="s">
        <v>555</v>
      </c>
      <c r="E260">
        <v>5</v>
      </c>
      <c r="F260">
        <v>78.95</v>
      </c>
      <c r="G260" t="s">
        <v>31</v>
      </c>
      <c r="H260" t="s">
        <v>129</v>
      </c>
      <c r="I260" t="s">
        <v>33</v>
      </c>
      <c r="J260" t="b">
        <v>1</v>
      </c>
      <c r="K260" t="s">
        <v>62</v>
      </c>
      <c r="L260" t="s">
        <v>27</v>
      </c>
      <c r="M260" t="s">
        <v>43</v>
      </c>
      <c r="N260">
        <f>YEAR(Table1[[#This Row],[Date]])</f>
        <v>2023</v>
      </c>
      <c r="O260" t="str">
        <f>TEXT(Table1[[#This Row],[Date]],"mmm")</f>
        <v>Mar</v>
      </c>
      <c r="P260" t="str">
        <f>IF(Table1[[#This Row],[Total_Cost]]&lt;25,"low",IF(Table1[[#This Row],[Total_Cost]]&lt;60,"medium","high"))</f>
        <v>high</v>
      </c>
      <c r="Q260" t="str">
        <f>IF(Table1[[#This Row],[Discount_Applied]]=TRUE,"discount applied","no discount")</f>
        <v>discount applied</v>
      </c>
    </row>
    <row r="261" spans="1:17" x14ac:dyDescent="0.3">
      <c r="A261">
        <v>1000000259</v>
      </c>
      <c r="B261" s="1">
        <v>44541.447152777779</v>
      </c>
      <c r="C261" t="s">
        <v>556</v>
      </c>
      <c r="D261" t="s">
        <v>56</v>
      </c>
      <c r="E261">
        <v>7</v>
      </c>
      <c r="F261">
        <v>46.35</v>
      </c>
      <c r="G261" t="s">
        <v>31</v>
      </c>
      <c r="H261" t="s">
        <v>70</v>
      </c>
      <c r="I261" t="s">
        <v>17</v>
      </c>
      <c r="J261" t="b">
        <v>1</v>
      </c>
      <c r="K261" t="s">
        <v>47</v>
      </c>
      <c r="L261" t="s">
        <v>27</v>
      </c>
      <c r="M261" t="s">
        <v>43</v>
      </c>
      <c r="N261">
        <f>YEAR(Table1[[#This Row],[Date]])</f>
        <v>2021</v>
      </c>
      <c r="O261" t="str">
        <f>TEXT(Table1[[#This Row],[Date]],"mmm")</f>
        <v>Dec</v>
      </c>
      <c r="P261" t="str">
        <f>IF(Table1[[#This Row],[Total_Cost]]&lt;25,"low",IF(Table1[[#This Row],[Total_Cost]]&lt;60,"medium","high"))</f>
        <v>medium</v>
      </c>
      <c r="Q261" t="str">
        <f>IF(Table1[[#This Row],[Discount_Applied]]=TRUE,"discount applied","no discount")</f>
        <v>discount applied</v>
      </c>
    </row>
    <row r="262" spans="1:17" x14ac:dyDescent="0.3">
      <c r="A262">
        <v>1000000260</v>
      </c>
      <c r="B262" s="1">
        <v>44690.37431712963</v>
      </c>
      <c r="C262" t="s">
        <v>557</v>
      </c>
      <c r="D262" t="s">
        <v>558</v>
      </c>
      <c r="E262">
        <v>8</v>
      </c>
      <c r="F262">
        <v>68.97</v>
      </c>
      <c r="G262" t="s">
        <v>41</v>
      </c>
      <c r="H262" t="s">
        <v>96</v>
      </c>
      <c r="I262" t="s">
        <v>59</v>
      </c>
      <c r="J262" t="b">
        <v>0</v>
      </c>
      <c r="K262" t="s">
        <v>62</v>
      </c>
      <c r="L262" t="s">
        <v>19</v>
      </c>
      <c r="M262" t="s">
        <v>20</v>
      </c>
      <c r="N262">
        <f>YEAR(Table1[[#This Row],[Date]])</f>
        <v>2022</v>
      </c>
      <c r="O262" t="str">
        <f>TEXT(Table1[[#This Row],[Date]],"mmm")</f>
        <v>May</v>
      </c>
      <c r="P262" t="str">
        <f>IF(Table1[[#This Row],[Total_Cost]]&lt;25,"low",IF(Table1[[#This Row],[Total_Cost]]&lt;60,"medium","high"))</f>
        <v>high</v>
      </c>
      <c r="Q262" t="str">
        <f>IF(Table1[[#This Row],[Discount_Applied]]=TRUE,"discount applied","no discount")</f>
        <v>no discount</v>
      </c>
    </row>
    <row r="263" spans="1:17" x14ac:dyDescent="0.3">
      <c r="A263">
        <v>1000000261</v>
      </c>
      <c r="B263" s="1">
        <v>44886.53733796296</v>
      </c>
      <c r="C263" t="s">
        <v>559</v>
      </c>
      <c r="D263" t="s">
        <v>30</v>
      </c>
      <c r="E263">
        <v>1</v>
      </c>
      <c r="F263">
        <v>92.52</v>
      </c>
      <c r="G263" t="s">
        <v>41</v>
      </c>
      <c r="H263" t="s">
        <v>36</v>
      </c>
      <c r="I263" t="s">
        <v>17</v>
      </c>
      <c r="J263" t="b">
        <v>1</v>
      </c>
      <c r="K263" t="s">
        <v>47</v>
      </c>
      <c r="L263" t="s">
        <v>19</v>
      </c>
      <c r="M263" t="s">
        <v>43</v>
      </c>
      <c r="N263">
        <f>YEAR(Table1[[#This Row],[Date]])</f>
        <v>2022</v>
      </c>
      <c r="O263" t="str">
        <f>TEXT(Table1[[#This Row],[Date]],"mmm")</f>
        <v>Nov</v>
      </c>
      <c r="P263" t="str">
        <f>IF(Table1[[#This Row],[Total_Cost]]&lt;25,"low",IF(Table1[[#This Row],[Total_Cost]]&lt;60,"medium","high"))</f>
        <v>high</v>
      </c>
      <c r="Q263" t="str">
        <f>IF(Table1[[#This Row],[Discount_Applied]]=TRUE,"discount applied","no discount")</f>
        <v>discount applied</v>
      </c>
    </row>
    <row r="264" spans="1:17" x14ac:dyDescent="0.3">
      <c r="A264">
        <v>1000000262</v>
      </c>
      <c r="B264" s="1">
        <v>44544.72515046296</v>
      </c>
      <c r="C264" t="s">
        <v>560</v>
      </c>
      <c r="D264" t="s">
        <v>561</v>
      </c>
      <c r="E264">
        <v>7</v>
      </c>
      <c r="F264">
        <v>12.66</v>
      </c>
      <c r="G264" t="s">
        <v>31</v>
      </c>
      <c r="H264" t="s">
        <v>16</v>
      </c>
      <c r="I264" t="s">
        <v>46</v>
      </c>
      <c r="J264" t="b">
        <v>1</v>
      </c>
      <c r="K264" t="s">
        <v>87</v>
      </c>
      <c r="L264" t="s">
        <v>52</v>
      </c>
      <c r="M264" t="s">
        <v>20</v>
      </c>
      <c r="N264">
        <f>YEAR(Table1[[#This Row],[Date]])</f>
        <v>2021</v>
      </c>
      <c r="O264" t="str">
        <f>TEXT(Table1[[#This Row],[Date]],"mmm")</f>
        <v>Dec</v>
      </c>
      <c r="P264" t="str">
        <f>IF(Table1[[#This Row],[Total_Cost]]&lt;25,"low",IF(Table1[[#This Row],[Total_Cost]]&lt;60,"medium","high"))</f>
        <v>low</v>
      </c>
      <c r="Q264" t="str">
        <f>IF(Table1[[#This Row],[Discount_Applied]]=TRUE,"discount applied","no discount")</f>
        <v>discount applied</v>
      </c>
    </row>
    <row r="265" spans="1:17" x14ac:dyDescent="0.3">
      <c r="A265">
        <v>1000000263</v>
      </c>
      <c r="B265" s="1">
        <v>43982.647731481484</v>
      </c>
      <c r="C265" t="s">
        <v>562</v>
      </c>
      <c r="D265" t="s">
        <v>563</v>
      </c>
      <c r="E265">
        <v>4</v>
      </c>
      <c r="F265">
        <v>35.47</v>
      </c>
      <c r="G265" t="s">
        <v>31</v>
      </c>
      <c r="H265" t="s">
        <v>65</v>
      </c>
      <c r="I265" t="s">
        <v>33</v>
      </c>
      <c r="J265" t="b">
        <v>1</v>
      </c>
      <c r="K265" t="s">
        <v>51</v>
      </c>
      <c r="L265" t="s">
        <v>52</v>
      </c>
      <c r="M265" t="s">
        <v>20</v>
      </c>
      <c r="N265">
        <f>YEAR(Table1[[#This Row],[Date]])</f>
        <v>2020</v>
      </c>
      <c r="O265" t="str">
        <f>TEXT(Table1[[#This Row],[Date]],"mmm")</f>
        <v>May</v>
      </c>
      <c r="P265" t="str">
        <f>IF(Table1[[#This Row],[Total_Cost]]&lt;25,"low",IF(Table1[[#This Row],[Total_Cost]]&lt;60,"medium","high"))</f>
        <v>medium</v>
      </c>
      <c r="Q265" t="str">
        <f>IF(Table1[[#This Row],[Discount_Applied]]=TRUE,"discount applied","no discount")</f>
        <v>discount applied</v>
      </c>
    </row>
    <row r="266" spans="1:17" x14ac:dyDescent="0.3">
      <c r="A266">
        <v>1000000264</v>
      </c>
      <c r="B266" s="1">
        <v>44447.52553240741</v>
      </c>
      <c r="C266" t="s">
        <v>564</v>
      </c>
      <c r="D266" t="s">
        <v>565</v>
      </c>
      <c r="E266">
        <v>7</v>
      </c>
      <c r="F266">
        <v>19.95</v>
      </c>
      <c r="G266" t="s">
        <v>15</v>
      </c>
      <c r="H266" t="s">
        <v>65</v>
      </c>
      <c r="I266" t="s">
        <v>46</v>
      </c>
      <c r="J266" t="b">
        <v>0</v>
      </c>
      <c r="K266" t="s">
        <v>87</v>
      </c>
      <c r="L266" t="s">
        <v>52</v>
      </c>
      <c r="M266" t="s">
        <v>20</v>
      </c>
      <c r="N266">
        <f>YEAR(Table1[[#This Row],[Date]])</f>
        <v>2021</v>
      </c>
      <c r="O266" t="str">
        <f>TEXT(Table1[[#This Row],[Date]],"mmm")</f>
        <v>Sep</v>
      </c>
      <c r="P266" t="str">
        <f>IF(Table1[[#This Row],[Total_Cost]]&lt;25,"low",IF(Table1[[#This Row],[Total_Cost]]&lt;60,"medium","high"))</f>
        <v>low</v>
      </c>
      <c r="Q266" t="str">
        <f>IF(Table1[[#This Row],[Discount_Applied]]=TRUE,"discount applied","no discount")</f>
        <v>no discount</v>
      </c>
    </row>
    <row r="267" spans="1:17" x14ac:dyDescent="0.3">
      <c r="A267">
        <v>1000000265</v>
      </c>
      <c r="B267" s="1">
        <v>45245.731319444443</v>
      </c>
      <c r="C267" t="s">
        <v>566</v>
      </c>
      <c r="D267" t="s">
        <v>567</v>
      </c>
      <c r="E267">
        <v>10</v>
      </c>
      <c r="F267">
        <v>9.6199999999999992</v>
      </c>
      <c r="G267" t="s">
        <v>31</v>
      </c>
      <c r="H267" t="s">
        <v>70</v>
      </c>
      <c r="I267" t="s">
        <v>33</v>
      </c>
      <c r="J267" t="b">
        <v>0</v>
      </c>
      <c r="K267" t="s">
        <v>18</v>
      </c>
      <c r="L267" t="s">
        <v>38</v>
      </c>
      <c r="M267" t="s">
        <v>20</v>
      </c>
      <c r="N267">
        <f>YEAR(Table1[[#This Row],[Date]])</f>
        <v>2023</v>
      </c>
      <c r="O267" t="str">
        <f>TEXT(Table1[[#This Row],[Date]],"mmm")</f>
        <v>Nov</v>
      </c>
      <c r="P267" t="str">
        <f>IF(Table1[[#This Row],[Total_Cost]]&lt;25,"low",IF(Table1[[#This Row],[Total_Cost]]&lt;60,"medium","high"))</f>
        <v>low</v>
      </c>
      <c r="Q267" t="str">
        <f>IF(Table1[[#This Row],[Discount_Applied]]=TRUE,"discount applied","no discount")</f>
        <v>no discount</v>
      </c>
    </row>
    <row r="268" spans="1:17" x14ac:dyDescent="0.3">
      <c r="A268">
        <v>1000000266</v>
      </c>
      <c r="B268" s="1">
        <v>44831.156493055554</v>
      </c>
      <c r="C268" t="s">
        <v>568</v>
      </c>
      <c r="D268" t="s">
        <v>569</v>
      </c>
      <c r="E268">
        <v>9</v>
      </c>
      <c r="F268">
        <v>32.72</v>
      </c>
      <c r="G268" t="s">
        <v>15</v>
      </c>
      <c r="H268" t="s">
        <v>32</v>
      </c>
      <c r="I268" t="s">
        <v>33</v>
      </c>
      <c r="J268" t="b">
        <v>1</v>
      </c>
      <c r="K268" t="s">
        <v>87</v>
      </c>
      <c r="L268" t="s">
        <v>27</v>
      </c>
      <c r="M268" t="s">
        <v>28</v>
      </c>
      <c r="N268">
        <f>YEAR(Table1[[#This Row],[Date]])</f>
        <v>2022</v>
      </c>
      <c r="O268" t="str">
        <f>TEXT(Table1[[#This Row],[Date]],"mmm")</f>
        <v>Sep</v>
      </c>
      <c r="P268" t="str">
        <f>IF(Table1[[#This Row],[Total_Cost]]&lt;25,"low",IF(Table1[[#This Row],[Total_Cost]]&lt;60,"medium","high"))</f>
        <v>medium</v>
      </c>
      <c r="Q268" t="str">
        <f>IF(Table1[[#This Row],[Discount_Applied]]=TRUE,"discount applied","no discount")</f>
        <v>discount applied</v>
      </c>
    </row>
    <row r="269" spans="1:17" x14ac:dyDescent="0.3">
      <c r="A269">
        <v>1000000267</v>
      </c>
      <c r="B269" s="1">
        <v>43832.01934027778</v>
      </c>
      <c r="C269" t="s">
        <v>570</v>
      </c>
      <c r="D269" t="s">
        <v>571</v>
      </c>
      <c r="E269">
        <v>8</v>
      </c>
      <c r="F269">
        <v>15.37</v>
      </c>
      <c r="G269" t="s">
        <v>41</v>
      </c>
      <c r="H269" t="s">
        <v>65</v>
      </c>
      <c r="I269" t="s">
        <v>33</v>
      </c>
      <c r="J269" t="b">
        <v>1</v>
      </c>
      <c r="K269" t="s">
        <v>26</v>
      </c>
      <c r="L269" t="s">
        <v>27</v>
      </c>
      <c r="M269" t="s">
        <v>20</v>
      </c>
      <c r="N269">
        <f>YEAR(Table1[[#This Row],[Date]])</f>
        <v>2020</v>
      </c>
      <c r="O269" t="str">
        <f>TEXT(Table1[[#This Row],[Date]],"mmm")</f>
        <v>Jan</v>
      </c>
      <c r="P269" t="str">
        <f>IF(Table1[[#This Row],[Total_Cost]]&lt;25,"low",IF(Table1[[#This Row],[Total_Cost]]&lt;60,"medium","high"))</f>
        <v>low</v>
      </c>
      <c r="Q269" t="str">
        <f>IF(Table1[[#This Row],[Discount_Applied]]=TRUE,"discount applied","no discount")</f>
        <v>discount applied</v>
      </c>
    </row>
    <row r="270" spans="1:17" x14ac:dyDescent="0.3">
      <c r="A270">
        <v>1000000268</v>
      </c>
      <c r="B270" s="1">
        <v>44942.476342592592</v>
      </c>
      <c r="C270" t="s">
        <v>572</v>
      </c>
      <c r="D270" t="s">
        <v>573</v>
      </c>
      <c r="E270">
        <v>3</v>
      </c>
      <c r="F270">
        <v>32.89</v>
      </c>
      <c r="G270" t="s">
        <v>15</v>
      </c>
      <c r="H270" t="s">
        <v>129</v>
      </c>
      <c r="I270" t="s">
        <v>46</v>
      </c>
      <c r="J270" t="b">
        <v>0</v>
      </c>
      <c r="K270" t="s">
        <v>51</v>
      </c>
      <c r="L270" t="s">
        <v>38</v>
      </c>
      <c r="M270" t="s">
        <v>43</v>
      </c>
      <c r="N270">
        <f>YEAR(Table1[[#This Row],[Date]])</f>
        <v>2023</v>
      </c>
      <c r="O270" t="str">
        <f>TEXT(Table1[[#This Row],[Date]],"mmm")</f>
        <v>Jan</v>
      </c>
      <c r="P270" t="str">
        <f>IF(Table1[[#This Row],[Total_Cost]]&lt;25,"low",IF(Table1[[#This Row],[Total_Cost]]&lt;60,"medium","high"))</f>
        <v>medium</v>
      </c>
      <c r="Q270" t="str">
        <f>IF(Table1[[#This Row],[Discount_Applied]]=TRUE,"discount applied","no discount")</f>
        <v>no discount</v>
      </c>
    </row>
    <row r="271" spans="1:17" x14ac:dyDescent="0.3">
      <c r="A271">
        <v>1000000269</v>
      </c>
      <c r="B271" s="1">
        <v>44157.049942129626</v>
      </c>
      <c r="C271" t="s">
        <v>574</v>
      </c>
      <c r="D271" t="s">
        <v>575</v>
      </c>
      <c r="E271">
        <v>10</v>
      </c>
      <c r="F271">
        <v>41.46</v>
      </c>
      <c r="G271" t="s">
        <v>41</v>
      </c>
      <c r="H271" t="s">
        <v>96</v>
      </c>
      <c r="I271" t="s">
        <v>37</v>
      </c>
      <c r="J271" t="b">
        <v>0</v>
      </c>
      <c r="K271" t="s">
        <v>47</v>
      </c>
      <c r="L271" t="s">
        <v>27</v>
      </c>
      <c r="M271" t="s">
        <v>43</v>
      </c>
      <c r="N271">
        <f>YEAR(Table1[[#This Row],[Date]])</f>
        <v>2020</v>
      </c>
      <c r="O271" t="str">
        <f>TEXT(Table1[[#This Row],[Date]],"mmm")</f>
        <v>Nov</v>
      </c>
      <c r="P271" t="str">
        <f>IF(Table1[[#This Row],[Total_Cost]]&lt;25,"low",IF(Table1[[#This Row],[Total_Cost]]&lt;60,"medium","high"))</f>
        <v>medium</v>
      </c>
      <c r="Q271" t="str">
        <f>IF(Table1[[#This Row],[Discount_Applied]]=TRUE,"discount applied","no discount")</f>
        <v>no discount</v>
      </c>
    </row>
    <row r="272" spans="1:17" x14ac:dyDescent="0.3">
      <c r="A272">
        <v>1000000270</v>
      </c>
      <c r="B272" s="1">
        <v>45249.348587962966</v>
      </c>
      <c r="C272" t="s">
        <v>576</v>
      </c>
      <c r="D272" t="s">
        <v>577</v>
      </c>
      <c r="E272">
        <v>1</v>
      </c>
      <c r="F272">
        <v>35.020000000000003</v>
      </c>
      <c r="G272" t="s">
        <v>41</v>
      </c>
      <c r="H272" t="s">
        <v>96</v>
      </c>
      <c r="I272" t="s">
        <v>46</v>
      </c>
      <c r="J272" t="b">
        <v>0</v>
      </c>
      <c r="K272" t="s">
        <v>18</v>
      </c>
      <c r="L272" t="s">
        <v>19</v>
      </c>
      <c r="M272" t="s">
        <v>28</v>
      </c>
      <c r="N272">
        <f>YEAR(Table1[[#This Row],[Date]])</f>
        <v>2023</v>
      </c>
      <c r="O272" t="str">
        <f>TEXT(Table1[[#This Row],[Date]],"mmm")</f>
        <v>Nov</v>
      </c>
      <c r="P272" t="str">
        <f>IF(Table1[[#This Row],[Total_Cost]]&lt;25,"low",IF(Table1[[#This Row],[Total_Cost]]&lt;60,"medium","high"))</f>
        <v>medium</v>
      </c>
      <c r="Q272" t="str">
        <f>IF(Table1[[#This Row],[Discount_Applied]]=TRUE,"discount applied","no discount")</f>
        <v>no discount</v>
      </c>
    </row>
    <row r="273" spans="1:17" x14ac:dyDescent="0.3">
      <c r="A273">
        <v>1000000271</v>
      </c>
      <c r="B273" s="1">
        <v>44912.726851851854</v>
      </c>
      <c r="C273" t="s">
        <v>578</v>
      </c>
      <c r="D273" t="s">
        <v>579</v>
      </c>
      <c r="E273">
        <v>7</v>
      </c>
      <c r="F273">
        <v>49.32</v>
      </c>
      <c r="G273" t="s">
        <v>31</v>
      </c>
      <c r="H273" t="s">
        <v>16</v>
      </c>
      <c r="I273" t="s">
        <v>59</v>
      </c>
      <c r="J273" t="b">
        <v>1</v>
      </c>
      <c r="K273" t="s">
        <v>80</v>
      </c>
      <c r="L273" t="s">
        <v>52</v>
      </c>
      <c r="M273" t="s">
        <v>28</v>
      </c>
      <c r="N273">
        <f>YEAR(Table1[[#This Row],[Date]])</f>
        <v>2022</v>
      </c>
      <c r="O273" t="str">
        <f>TEXT(Table1[[#This Row],[Date]],"mmm")</f>
        <v>Dec</v>
      </c>
      <c r="P273" t="str">
        <f>IF(Table1[[#This Row],[Total_Cost]]&lt;25,"low",IF(Table1[[#This Row],[Total_Cost]]&lt;60,"medium","high"))</f>
        <v>medium</v>
      </c>
      <c r="Q273" t="str">
        <f>IF(Table1[[#This Row],[Discount_Applied]]=TRUE,"discount applied","no discount")</f>
        <v>discount applied</v>
      </c>
    </row>
    <row r="274" spans="1:17" x14ac:dyDescent="0.3">
      <c r="A274">
        <v>1000000272</v>
      </c>
      <c r="B274" s="1">
        <v>45268.738055555557</v>
      </c>
      <c r="C274" t="s">
        <v>580</v>
      </c>
      <c r="D274" t="s">
        <v>581</v>
      </c>
      <c r="E274">
        <v>3</v>
      </c>
      <c r="F274">
        <v>5.84</v>
      </c>
      <c r="G274" t="s">
        <v>31</v>
      </c>
      <c r="H274" t="s">
        <v>32</v>
      </c>
      <c r="I274" t="s">
        <v>59</v>
      </c>
      <c r="J274" t="b">
        <v>0</v>
      </c>
      <c r="K274" t="s">
        <v>47</v>
      </c>
      <c r="L274" t="s">
        <v>19</v>
      </c>
      <c r="M274" t="s">
        <v>20</v>
      </c>
      <c r="N274">
        <f>YEAR(Table1[[#This Row],[Date]])</f>
        <v>2023</v>
      </c>
      <c r="O274" t="str">
        <f>TEXT(Table1[[#This Row],[Date]],"mmm")</f>
        <v>Dec</v>
      </c>
      <c r="P274" t="str">
        <f>IF(Table1[[#This Row],[Total_Cost]]&lt;25,"low",IF(Table1[[#This Row],[Total_Cost]]&lt;60,"medium","high"))</f>
        <v>low</v>
      </c>
      <c r="Q274" t="str">
        <f>IF(Table1[[#This Row],[Discount_Applied]]=TRUE,"discount applied","no discount")</f>
        <v>no discount</v>
      </c>
    </row>
    <row r="275" spans="1:17" x14ac:dyDescent="0.3">
      <c r="A275">
        <v>1000000273</v>
      </c>
      <c r="B275" s="1">
        <v>45239.330983796295</v>
      </c>
      <c r="C275" t="s">
        <v>582</v>
      </c>
      <c r="D275" t="s">
        <v>583</v>
      </c>
      <c r="E275">
        <v>6</v>
      </c>
      <c r="F275">
        <v>35.119999999999997</v>
      </c>
      <c r="G275" t="s">
        <v>15</v>
      </c>
      <c r="H275" t="s">
        <v>16</v>
      </c>
      <c r="I275" t="s">
        <v>33</v>
      </c>
      <c r="J275" t="b">
        <v>1</v>
      </c>
      <c r="K275" t="s">
        <v>87</v>
      </c>
      <c r="L275" t="s">
        <v>38</v>
      </c>
      <c r="M275" t="s">
        <v>43</v>
      </c>
      <c r="N275">
        <f>YEAR(Table1[[#This Row],[Date]])</f>
        <v>2023</v>
      </c>
      <c r="O275" t="str">
        <f>TEXT(Table1[[#This Row],[Date]],"mmm")</f>
        <v>Nov</v>
      </c>
      <c r="P275" t="str">
        <f>IF(Table1[[#This Row],[Total_Cost]]&lt;25,"low",IF(Table1[[#This Row],[Total_Cost]]&lt;60,"medium","high"))</f>
        <v>medium</v>
      </c>
      <c r="Q275" t="str">
        <f>IF(Table1[[#This Row],[Discount_Applied]]=TRUE,"discount applied","no discount")</f>
        <v>discount applied</v>
      </c>
    </row>
    <row r="276" spans="1:17" x14ac:dyDescent="0.3">
      <c r="A276">
        <v>1000000274</v>
      </c>
      <c r="B276" s="1">
        <v>45218.276585648149</v>
      </c>
      <c r="C276" t="s">
        <v>584</v>
      </c>
      <c r="D276" t="s">
        <v>585</v>
      </c>
      <c r="E276">
        <v>8</v>
      </c>
      <c r="F276">
        <v>49.02</v>
      </c>
      <c r="G276" t="s">
        <v>31</v>
      </c>
      <c r="H276" t="s">
        <v>70</v>
      </c>
      <c r="I276" t="s">
        <v>46</v>
      </c>
      <c r="J276" t="b">
        <v>0</v>
      </c>
      <c r="K276" t="s">
        <v>51</v>
      </c>
      <c r="L276" t="s">
        <v>52</v>
      </c>
      <c r="M276" t="s">
        <v>43</v>
      </c>
      <c r="N276">
        <f>YEAR(Table1[[#This Row],[Date]])</f>
        <v>2023</v>
      </c>
      <c r="O276" t="str">
        <f>TEXT(Table1[[#This Row],[Date]],"mmm")</f>
        <v>Oct</v>
      </c>
      <c r="P276" t="str">
        <f>IF(Table1[[#This Row],[Total_Cost]]&lt;25,"low",IF(Table1[[#This Row],[Total_Cost]]&lt;60,"medium","high"))</f>
        <v>medium</v>
      </c>
      <c r="Q276" t="str">
        <f>IF(Table1[[#This Row],[Discount_Applied]]=TRUE,"discount applied","no discount")</f>
        <v>no discount</v>
      </c>
    </row>
    <row r="277" spans="1:17" x14ac:dyDescent="0.3">
      <c r="A277">
        <v>1000000275</v>
      </c>
      <c r="B277" s="1">
        <v>44765.257418981484</v>
      </c>
      <c r="C277" t="s">
        <v>586</v>
      </c>
      <c r="D277" t="s">
        <v>587</v>
      </c>
      <c r="E277">
        <v>1</v>
      </c>
      <c r="F277">
        <v>96.66</v>
      </c>
      <c r="G277" t="s">
        <v>23</v>
      </c>
      <c r="H277" t="s">
        <v>96</v>
      </c>
      <c r="I277" t="s">
        <v>37</v>
      </c>
      <c r="J277" t="b">
        <v>1</v>
      </c>
      <c r="K277" t="s">
        <v>51</v>
      </c>
      <c r="L277" t="s">
        <v>19</v>
      </c>
      <c r="M277" t="s">
        <v>20</v>
      </c>
      <c r="N277">
        <f>YEAR(Table1[[#This Row],[Date]])</f>
        <v>2022</v>
      </c>
      <c r="O277" t="str">
        <f>TEXT(Table1[[#This Row],[Date]],"mmm")</f>
        <v>Jul</v>
      </c>
      <c r="P277" t="str">
        <f>IF(Table1[[#This Row],[Total_Cost]]&lt;25,"low",IF(Table1[[#This Row],[Total_Cost]]&lt;60,"medium","high"))</f>
        <v>high</v>
      </c>
      <c r="Q277" t="str">
        <f>IF(Table1[[#This Row],[Discount_Applied]]=TRUE,"discount applied","no discount")</f>
        <v>discount applied</v>
      </c>
    </row>
    <row r="278" spans="1:17" x14ac:dyDescent="0.3">
      <c r="A278">
        <v>1000000276</v>
      </c>
      <c r="B278" s="1">
        <v>45226.741238425922</v>
      </c>
      <c r="C278" t="s">
        <v>588</v>
      </c>
      <c r="D278" t="s">
        <v>589</v>
      </c>
      <c r="E278">
        <v>2</v>
      </c>
      <c r="F278">
        <v>63.83</v>
      </c>
      <c r="G278" t="s">
        <v>23</v>
      </c>
      <c r="H278" t="s">
        <v>36</v>
      </c>
      <c r="I278" t="s">
        <v>59</v>
      </c>
      <c r="J278" t="b">
        <v>1</v>
      </c>
      <c r="K278" t="s">
        <v>42</v>
      </c>
      <c r="L278" t="s">
        <v>38</v>
      </c>
      <c r="M278" t="s">
        <v>28</v>
      </c>
      <c r="N278">
        <f>YEAR(Table1[[#This Row],[Date]])</f>
        <v>2023</v>
      </c>
      <c r="O278" t="str">
        <f>TEXT(Table1[[#This Row],[Date]],"mmm")</f>
        <v>Oct</v>
      </c>
      <c r="P278" t="str">
        <f>IF(Table1[[#This Row],[Total_Cost]]&lt;25,"low",IF(Table1[[#This Row],[Total_Cost]]&lt;60,"medium","high"))</f>
        <v>high</v>
      </c>
      <c r="Q278" t="str">
        <f>IF(Table1[[#This Row],[Discount_Applied]]=TRUE,"discount applied","no discount")</f>
        <v>discount applied</v>
      </c>
    </row>
    <row r="279" spans="1:17" x14ac:dyDescent="0.3">
      <c r="A279">
        <v>1000000277</v>
      </c>
      <c r="B279" s="1">
        <v>44465.197905092595</v>
      </c>
      <c r="C279" t="s">
        <v>590</v>
      </c>
      <c r="D279" t="s">
        <v>591</v>
      </c>
      <c r="E279">
        <v>10</v>
      </c>
      <c r="F279">
        <v>51.19</v>
      </c>
      <c r="G279" t="s">
        <v>41</v>
      </c>
      <c r="H279" t="s">
        <v>77</v>
      </c>
      <c r="I279" t="s">
        <v>46</v>
      </c>
      <c r="J279" t="b">
        <v>0</v>
      </c>
      <c r="K279" t="s">
        <v>26</v>
      </c>
      <c r="L279" t="s">
        <v>27</v>
      </c>
      <c r="M279" t="s">
        <v>43</v>
      </c>
      <c r="N279">
        <f>YEAR(Table1[[#This Row],[Date]])</f>
        <v>2021</v>
      </c>
      <c r="O279" t="str">
        <f>TEXT(Table1[[#This Row],[Date]],"mmm")</f>
        <v>Sep</v>
      </c>
      <c r="P279" t="str">
        <f>IF(Table1[[#This Row],[Total_Cost]]&lt;25,"low",IF(Table1[[#This Row],[Total_Cost]]&lt;60,"medium","high"))</f>
        <v>medium</v>
      </c>
      <c r="Q279" t="str">
        <f>IF(Table1[[#This Row],[Discount_Applied]]=TRUE,"discount applied","no discount")</f>
        <v>no discount</v>
      </c>
    </row>
    <row r="280" spans="1:17" x14ac:dyDescent="0.3">
      <c r="A280">
        <v>1000000278</v>
      </c>
      <c r="B280" s="1">
        <v>44273.434560185182</v>
      </c>
      <c r="C280" t="s">
        <v>592</v>
      </c>
      <c r="D280" t="s">
        <v>593</v>
      </c>
      <c r="E280">
        <v>5</v>
      </c>
      <c r="F280">
        <v>71.7</v>
      </c>
      <c r="G280" t="s">
        <v>41</v>
      </c>
      <c r="H280" t="s">
        <v>24</v>
      </c>
      <c r="I280" t="s">
        <v>37</v>
      </c>
      <c r="J280" t="b">
        <v>0</v>
      </c>
      <c r="K280" t="s">
        <v>26</v>
      </c>
      <c r="L280" t="s">
        <v>38</v>
      </c>
      <c r="M280" t="s">
        <v>28</v>
      </c>
      <c r="N280">
        <f>YEAR(Table1[[#This Row],[Date]])</f>
        <v>2021</v>
      </c>
      <c r="O280" t="str">
        <f>TEXT(Table1[[#This Row],[Date]],"mmm")</f>
        <v>Mar</v>
      </c>
      <c r="P280" t="str">
        <f>IF(Table1[[#This Row],[Total_Cost]]&lt;25,"low",IF(Table1[[#This Row],[Total_Cost]]&lt;60,"medium","high"))</f>
        <v>high</v>
      </c>
      <c r="Q280" t="str">
        <f>IF(Table1[[#This Row],[Discount_Applied]]=TRUE,"discount applied","no discount")</f>
        <v>no discount</v>
      </c>
    </row>
    <row r="281" spans="1:17" x14ac:dyDescent="0.3">
      <c r="A281">
        <v>1000000279</v>
      </c>
      <c r="B281" s="1">
        <v>44280.976956018516</v>
      </c>
      <c r="C281" t="s">
        <v>594</v>
      </c>
      <c r="D281" t="s">
        <v>595</v>
      </c>
      <c r="E281">
        <v>9</v>
      </c>
      <c r="F281">
        <v>9.39</v>
      </c>
      <c r="G281" t="s">
        <v>31</v>
      </c>
      <c r="H281" t="s">
        <v>16</v>
      </c>
      <c r="I281" t="s">
        <v>59</v>
      </c>
      <c r="J281" t="b">
        <v>1</v>
      </c>
      <c r="K281" t="s">
        <v>18</v>
      </c>
      <c r="L281" t="s">
        <v>27</v>
      </c>
      <c r="M281" t="s">
        <v>20</v>
      </c>
      <c r="N281">
        <f>YEAR(Table1[[#This Row],[Date]])</f>
        <v>2021</v>
      </c>
      <c r="O281" t="str">
        <f>TEXT(Table1[[#This Row],[Date]],"mmm")</f>
        <v>Mar</v>
      </c>
      <c r="P281" t="str">
        <f>IF(Table1[[#This Row],[Total_Cost]]&lt;25,"low",IF(Table1[[#This Row],[Total_Cost]]&lt;60,"medium","high"))</f>
        <v>low</v>
      </c>
      <c r="Q281" t="str">
        <f>IF(Table1[[#This Row],[Discount_Applied]]=TRUE,"discount applied","no discount")</f>
        <v>discount applied</v>
      </c>
    </row>
    <row r="282" spans="1:17" x14ac:dyDescent="0.3">
      <c r="A282">
        <v>1000000280</v>
      </c>
      <c r="B282" s="1">
        <v>43891.76902777778</v>
      </c>
      <c r="C282" t="s">
        <v>596</v>
      </c>
      <c r="D282" t="s">
        <v>597</v>
      </c>
      <c r="E282">
        <v>2</v>
      </c>
      <c r="F282">
        <v>49.74</v>
      </c>
      <c r="G282" t="s">
        <v>23</v>
      </c>
      <c r="H282" t="s">
        <v>129</v>
      </c>
      <c r="I282" t="s">
        <v>59</v>
      </c>
      <c r="J282" t="b">
        <v>1</v>
      </c>
      <c r="K282" t="s">
        <v>18</v>
      </c>
      <c r="L282" t="s">
        <v>27</v>
      </c>
      <c r="M282" t="s">
        <v>43</v>
      </c>
      <c r="N282">
        <f>YEAR(Table1[[#This Row],[Date]])</f>
        <v>2020</v>
      </c>
      <c r="O282" t="str">
        <f>TEXT(Table1[[#This Row],[Date]],"mmm")</f>
        <v>Mar</v>
      </c>
      <c r="P282" t="str">
        <f>IF(Table1[[#This Row],[Total_Cost]]&lt;25,"low",IF(Table1[[#This Row],[Total_Cost]]&lt;60,"medium","high"))</f>
        <v>medium</v>
      </c>
      <c r="Q282" t="str">
        <f>IF(Table1[[#This Row],[Discount_Applied]]=TRUE,"discount applied","no discount")</f>
        <v>discount applied</v>
      </c>
    </row>
    <row r="283" spans="1:17" x14ac:dyDescent="0.3">
      <c r="A283">
        <v>1000000281</v>
      </c>
      <c r="B283" s="1">
        <v>44091.905763888892</v>
      </c>
      <c r="C283" t="s">
        <v>598</v>
      </c>
      <c r="D283" t="s">
        <v>599</v>
      </c>
      <c r="E283">
        <v>10</v>
      </c>
      <c r="F283">
        <v>74.53</v>
      </c>
      <c r="G283" t="s">
        <v>15</v>
      </c>
      <c r="H283" t="s">
        <v>96</v>
      </c>
      <c r="I283" t="s">
        <v>33</v>
      </c>
      <c r="J283" t="b">
        <v>0</v>
      </c>
      <c r="K283" t="s">
        <v>51</v>
      </c>
      <c r="L283" t="s">
        <v>52</v>
      </c>
      <c r="M283" t="s">
        <v>20</v>
      </c>
      <c r="N283">
        <f>YEAR(Table1[[#This Row],[Date]])</f>
        <v>2020</v>
      </c>
      <c r="O283" t="str">
        <f>TEXT(Table1[[#This Row],[Date]],"mmm")</f>
        <v>Sep</v>
      </c>
      <c r="P283" t="str">
        <f>IF(Table1[[#This Row],[Total_Cost]]&lt;25,"low",IF(Table1[[#This Row],[Total_Cost]]&lt;60,"medium","high"))</f>
        <v>high</v>
      </c>
      <c r="Q283" t="str">
        <f>IF(Table1[[#This Row],[Discount_Applied]]=TRUE,"discount applied","no discount")</f>
        <v>no discount</v>
      </c>
    </row>
    <row r="284" spans="1:17" x14ac:dyDescent="0.3">
      <c r="A284">
        <v>1000000282</v>
      </c>
      <c r="B284" s="1">
        <v>44206.686377314814</v>
      </c>
      <c r="C284" t="s">
        <v>600</v>
      </c>
      <c r="D284" t="s">
        <v>601</v>
      </c>
      <c r="E284">
        <v>1</v>
      </c>
      <c r="F284">
        <v>60.52</v>
      </c>
      <c r="G284" t="s">
        <v>15</v>
      </c>
      <c r="H284" t="s">
        <v>70</v>
      </c>
      <c r="I284" t="s">
        <v>25</v>
      </c>
      <c r="J284" t="b">
        <v>1</v>
      </c>
      <c r="K284" t="s">
        <v>62</v>
      </c>
      <c r="L284" t="s">
        <v>27</v>
      </c>
      <c r="M284" t="s">
        <v>20</v>
      </c>
      <c r="N284">
        <f>YEAR(Table1[[#This Row],[Date]])</f>
        <v>2021</v>
      </c>
      <c r="O284" t="str">
        <f>TEXT(Table1[[#This Row],[Date]],"mmm")</f>
        <v>Jan</v>
      </c>
      <c r="P284" t="str">
        <f>IF(Table1[[#This Row],[Total_Cost]]&lt;25,"low",IF(Table1[[#This Row],[Total_Cost]]&lt;60,"medium","high"))</f>
        <v>high</v>
      </c>
      <c r="Q284" t="str">
        <f>IF(Table1[[#This Row],[Discount_Applied]]=TRUE,"discount applied","no discount")</f>
        <v>discount applied</v>
      </c>
    </row>
    <row r="285" spans="1:17" x14ac:dyDescent="0.3">
      <c r="A285">
        <v>1000000283</v>
      </c>
      <c r="B285" s="1">
        <v>43978.21733796296</v>
      </c>
      <c r="C285" t="s">
        <v>602</v>
      </c>
      <c r="D285" t="s">
        <v>603</v>
      </c>
      <c r="E285">
        <v>4</v>
      </c>
      <c r="F285">
        <v>42.33</v>
      </c>
      <c r="G285" t="s">
        <v>31</v>
      </c>
      <c r="H285" t="s">
        <v>70</v>
      </c>
      <c r="I285" t="s">
        <v>37</v>
      </c>
      <c r="J285" t="b">
        <v>0</v>
      </c>
      <c r="K285" t="s">
        <v>87</v>
      </c>
      <c r="L285" t="s">
        <v>19</v>
      </c>
      <c r="M285" t="s">
        <v>28</v>
      </c>
      <c r="N285">
        <f>YEAR(Table1[[#This Row],[Date]])</f>
        <v>2020</v>
      </c>
      <c r="O285" t="str">
        <f>TEXT(Table1[[#This Row],[Date]],"mmm")</f>
        <v>May</v>
      </c>
      <c r="P285" t="str">
        <f>IF(Table1[[#This Row],[Total_Cost]]&lt;25,"low",IF(Table1[[#This Row],[Total_Cost]]&lt;60,"medium","high"))</f>
        <v>medium</v>
      </c>
      <c r="Q285" t="str">
        <f>IF(Table1[[#This Row],[Discount_Applied]]=TRUE,"discount applied","no discount")</f>
        <v>no discount</v>
      </c>
    </row>
    <row r="286" spans="1:17" x14ac:dyDescent="0.3">
      <c r="A286">
        <v>1000000284</v>
      </c>
      <c r="B286" s="1">
        <v>44855.553657407407</v>
      </c>
      <c r="C286" t="s">
        <v>604</v>
      </c>
      <c r="D286" t="s">
        <v>605</v>
      </c>
      <c r="E286">
        <v>9</v>
      </c>
      <c r="F286">
        <v>88.86</v>
      </c>
      <c r="G286" t="s">
        <v>15</v>
      </c>
      <c r="H286" t="s">
        <v>16</v>
      </c>
      <c r="I286" t="s">
        <v>37</v>
      </c>
      <c r="J286" t="b">
        <v>0</v>
      </c>
      <c r="K286" t="s">
        <v>80</v>
      </c>
      <c r="L286" t="s">
        <v>19</v>
      </c>
      <c r="M286" t="s">
        <v>20</v>
      </c>
      <c r="N286">
        <f>YEAR(Table1[[#This Row],[Date]])</f>
        <v>2022</v>
      </c>
      <c r="O286" t="str">
        <f>TEXT(Table1[[#This Row],[Date]],"mmm")</f>
        <v>Oct</v>
      </c>
      <c r="P286" t="str">
        <f>IF(Table1[[#This Row],[Total_Cost]]&lt;25,"low",IF(Table1[[#This Row],[Total_Cost]]&lt;60,"medium","high"))</f>
        <v>high</v>
      </c>
      <c r="Q286" t="str">
        <f>IF(Table1[[#This Row],[Discount_Applied]]=TRUE,"discount applied","no discount")</f>
        <v>no discount</v>
      </c>
    </row>
    <row r="287" spans="1:17" x14ac:dyDescent="0.3">
      <c r="A287">
        <v>1000000285</v>
      </c>
      <c r="B287" s="1">
        <v>44689.515381944446</v>
      </c>
      <c r="C287" t="s">
        <v>606</v>
      </c>
      <c r="D287" t="s">
        <v>607</v>
      </c>
      <c r="E287">
        <v>9</v>
      </c>
      <c r="F287">
        <v>51.18</v>
      </c>
      <c r="G287" t="s">
        <v>41</v>
      </c>
      <c r="H287" t="s">
        <v>77</v>
      </c>
      <c r="I287" t="s">
        <v>46</v>
      </c>
      <c r="J287" t="b">
        <v>1</v>
      </c>
      <c r="K287" t="s">
        <v>26</v>
      </c>
      <c r="L287" t="s">
        <v>27</v>
      </c>
      <c r="M287" t="s">
        <v>43</v>
      </c>
      <c r="N287">
        <f>YEAR(Table1[[#This Row],[Date]])</f>
        <v>2022</v>
      </c>
      <c r="O287" t="str">
        <f>TEXT(Table1[[#This Row],[Date]],"mmm")</f>
        <v>May</v>
      </c>
      <c r="P287" t="str">
        <f>IF(Table1[[#This Row],[Total_Cost]]&lt;25,"low",IF(Table1[[#This Row],[Total_Cost]]&lt;60,"medium","high"))</f>
        <v>medium</v>
      </c>
      <c r="Q287" t="str">
        <f>IF(Table1[[#This Row],[Discount_Applied]]=TRUE,"discount applied","no discount")</f>
        <v>discount applied</v>
      </c>
    </row>
    <row r="288" spans="1:17" x14ac:dyDescent="0.3">
      <c r="A288">
        <v>1000000286</v>
      </c>
      <c r="B288" s="1">
        <v>45076.289861111109</v>
      </c>
      <c r="C288" t="s">
        <v>608</v>
      </c>
      <c r="D288" t="s">
        <v>609</v>
      </c>
      <c r="E288">
        <v>2</v>
      </c>
      <c r="F288">
        <v>38.71</v>
      </c>
      <c r="G288" t="s">
        <v>15</v>
      </c>
      <c r="H288" t="s">
        <v>65</v>
      </c>
      <c r="I288" t="s">
        <v>25</v>
      </c>
      <c r="J288" t="b">
        <v>1</v>
      </c>
      <c r="K288" t="s">
        <v>51</v>
      </c>
      <c r="L288" t="s">
        <v>19</v>
      </c>
      <c r="M288" t="s">
        <v>28</v>
      </c>
      <c r="N288">
        <f>YEAR(Table1[[#This Row],[Date]])</f>
        <v>2023</v>
      </c>
      <c r="O288" t="str">
        <f>TEXT(Table1[[#This Row],[Date]],"mmm")</f>
        <v>May</v>
      </c>
      <c r="P288" t="str">
        <f>IF(Table1[[#This Row],[Total_Cost]]&lt;25,"low",IF(Table1[[#This Row],[Total_Cost]]&lt;60,"medium","high"))</f>
        <v>medium</v>
      </c>
      <c r="Q288" t="str">
        <f>IF(Table1[[#This Row],[Discount_Applied]]=TRUE,"discount applied","no discount")</f>
        <v>discount applied</v>
      </c>
    </row>
    <row r="289" spans="1:17" x14ac:dyDescent="0.3">
      <c r="A289">
        <v>1000000287</v>
      </c>
      <c r="B289" s="1">
        <v>44928.889432870368</v>
      </c>
      <c r="C289" t="s">
        <v>610</v>
      </c>
      <c r="D289" t="s">
        <v>611</v>
      </c>
      <c r="E289">
        <v>1</v>
      </c>
      <c r="F289">
        <v>19.399999999999999</v>
      </c>
      <c r="G289" t="s">
        <v>15</v>
      </c>
      <c r="H289" t="s">
        <v>50</v>
      </c>
      <c r="I289" t="s">
        <v>33</v>
      </c>
      <c r="J289" t="b">
        <v>1</v>
      </c>
      <c r="K289" t="s">
        <v>18</v>
      </c>
      <c r="L289" t="s">
        <v>27</v>
      </c>
      <c r="M289" t="s">
        <v>43</v>
      </c>
      <c r="N289">
        <f>YEAR(Table1[[#This Row],[Date]])</f>
        <v>2023</v>
      </c>
      <c r="O289" t="str">
        <f>TEXT(Table1[[#This Row],[Date]],"mmm")</f>
        <v>Jan</v>
      </c>
      <c r="P289" t="str">
        <f>IF(Table1[[#This Row],[Total_Cost]]&lt;25,"low",IF(Table1[[#This Row],[Total_Cost]]&lt;60,"medium","high"))</f>
        <v>low</v>
      </c>
      <c r="Q289" t="str">
        <f>IF(Table1[[#This Row],[Discount_Applied]]=TRUE,"discount applied","no discount")</f>
        <v>discount applied</v>
      </c>
    </row>
    <row r="290" spans="1:17" x14ac:dyDescent="0.3">
      <c r="A290">
        <v>1000000288</v>
      </c>
      <c r="B290" s="1">
        <v>44392.581134259257</v>
      </c>
      <c r="C290" t="s">
        <v>612</v>
      </c>
      <c r="D290" t="s">
        <v>613</v>
      </c>
      <c r="E290">
        <v>6</v>
      </c>
      <c r="F290">
        <v>10.92</v>
      </c>
      <c r="G290" t="s">
        <v>31</v>
      </c>
      <c r="H290" t="s">
        <v>65</v>
      </c>
      <c r="I290" t="s">
        <v>59</v>
      </c>
      <c r="J290" t="b">
        <v>0</v>
      </c>
      <c r="K290" t="s">
        <v>26</v>
      </c>
      <c r="L290" t="s">
        <v>38</v>
      </c>
      <c r="M290" t="s">
        <v>28</v>
      </c>
      <c r="N290">
        <f>YEAR(Table1[[#This Row],[Date]])</f>
        <v>2021</v>
      </c>
      <c r="O290" t="str">
        <f>TEXT(Table1[[#This Row],[Date]],"mmm")</f>
        <v>Jul</v>
      </c>
      <c r="P290" t="str">
        <f>IF(Table1[[#This Row],[Total_Cost]]&lt;25,"low",IF(Table1[[#This Row],[Total_Cost]]&lt;60,"medium","high"))</f>
        <v>low</v>
      </c>
      <c r="Q290" t="str">
        <f>IF(Table1[[#This Row],[Discount_Applied]]=TRUE,"discount applied","no discount")</f>
        <v>no discount</v>
      </c>
    </row>
    <row r="291" spans="1:17" x14ac:dyDescent="0.3">
      <c r="A291">
        <v>1000000289</v>
      </c>
      <c r="B291" s="1">
        <v>44298.578159722223</v>
      </c>
      <c r="C291" t="s">
        <v>614</v>
      </c>
      <c r="D291" t="s">
        <v>615</v>
      </c>
      <c r="E291">
        <v>4</v>
      </c>
      <c r="F291">
        <v>79.33</v>
      </c>
      <c r="G291" t="s">
        <v>41</v>
      </c>
      <c r="H291" t="s">
        <v>77</v>
      </c>
      <c r="I291" t="s">
        <v>25</v>
      </c>
      <c r="J291" t="b">
        <v>0</v>
      </c>
      <c r="K291" t="s">
        <v>18</v>
      </c>
      <c r="L291" t="s">
        <v>27</v>
      </c>
      <c r="M291" t="s">
        <v>20</v>
      </c>
      <c r="N291">
        <f>YEAR(Table1[[#This Row],[Date]])</f>
        <v>2021</v>
      </c>
      <c r="O291" t="str">
        <f>TEXT(Table1[[#This Row],[Date]],"mmm")</f>
        <v>Apr</v>
      </c>
      <c r="P291" t="str">
        <f>IF(Table1[[#This Row],[Total_Cost]]&lt;25,"low",IF(Table1[[#This Row],[Total_Cost]]&lt;60,"medium","high"))</f>
        <v>high</v>
      </c>
      <c r="Q291" t="str">
        <f>IF(Table1[[#This Row],[Discount_Applied]]=TRUE,"discount applied","no discount")</f>
        <v>no discount</v>
      </c>
    </row>
    <row r="292" spans="1:17" x14ac:dyDescent="0.3">
      <c r="A292">
        <v>1000000290</v>
      </c>
      <c r="B292" s="1">
        <v>43982.969733796293</v>
      </c>
      <c r="C292" t="s">
        <v>616</v>
      </c>
      <c r="D292" t="s">
        <v>338</v>
      </c>
      <c r="E292">
        <v>1</v>
      </c>
      <c r="F292">
        <v>62.37</v>
      </c>
      <c r="G292" t="s">
        <v>15</v>
      </c>
      <c r="H292" t="s">
        <v>129</v>
      </c>
      <c r="I292" t="s">
        <v>37</v>
      </c>
      <c r="J292" t="b">
        <v>0</v>
      </c>
      <c r="K292" t="s">
        <v>87</v>
      </c>
      <c r="L292" t="s">
        <v>38</v>
      </c>
      <c r="M292" t="s">
        <v>20</v>
      </c>
      <c r="N292">
        <f>YEAR(Table1[[#This Row],[Date]])</f>
        <v>2020</v>
      </c>
      <c r="O292" t="str">
        <f>TEXT(Table1[[#This Row],[Date]],"mmm")</f>
        <v>May</v>
      </c>
      <c r="P292" t="str">
        <f>IF(Table1[[#This Row],[Total_Cost]]&lt;25,"low",IF(Table1[[#This Row],[Total_Cost]]&lt;60,"medium","high"))</f>
        <v>high</v>
      </c>
      <c r="Q292" t="str">
        <f>IF(Table1[[#This Row],[Discount_Applied]]=TRUE,"discount applied","no discount")</f>
        <v>no discount</v>
      </c>
    </row>
    <row r="293" spans="1:17" x14ac:dyDescent="0.3">
      <c r="A293">
        <v>1000000291</v>
      </c>
      <c r="B293" s="1">
        <v>45075.240914351853</v>
      </c>
      <c r="C293" t="s">
        <v>617</v>
      </c>
      <c r="D293" t="s">
        <v>558</v>
      </c>
      <c r="E293">
        <v>10</v>
      </c>
      <c r="F293">
        <v>49.86</v>
      </c>
      <c r="G293" t="s">
        <v>15</v>
      </c>
      <c r="H293" t="s">
        <v>24</v>
      </c>
      <c r="I293" t="s">
        <v>46</v>
      </c>
      <c r="J293" t="b">
        <v>0</v>
      </c>
      <c r="K293" t="s">
        <v>26</v>
      </c>
      <c r="L293" t="s">
        <v>19</v>
      </c>
      <c r="M293" t="s">
        <v>43</v>
      </c>
      <c r="N293">
        <f>YEAR(Table1[[#This Row],[Date]])</f>
        <v>2023</v>
      </c>
      <c r="O293" t="str">
        <f>TEXT(Table1[[#This Row],[Date]],"mmm")</f>
        <v>May</v>
      </c>
      <c r="P293" t="str">
        <f>IF(Table1[[#This Row],[Total_Cost]]&lt;25,"low",IF(Table1[[#This Row],[Total_Cost]]&lt;60,"medium","high"))</f>
        <v>medium</v>
      </c>
      <c r="Q293" t="str">
        <f>IF(Table1[[#This Row],[Discount_Applied]]=TRUE,"discount applied","no discount")</f>
        <v>no discount</v>
      </c>
    </row>
    <row r="294" spans="1:17" x14ac:dyDescent="0.3">
      <c r="A294">
        <v>1000000292</v>
      </c>
      <c r="B294" s="1">
        <v>44147.144016203703</v>
      </c>
      <c r="C294" t="s">
        <v>618</v>
      </c>
      <c r="D294" t="s">
        <v>619</v>
      </c>
      <c r="E294">
        <v>5</v>
      </c>
      <c r="F294">
        <v>74.16</v>
      </c>
      <c r="G294" t="s">
        <v>23</v>
      </c>
      <c r="H294" t="s">
        <v>32</v>
      </c>
      <c r="I294" t="s">
        <v>25</v>
      </c>
      <c r="J294" t="b">
        <v>1</v>
      </c>
      <c r="K294" t="s">
        <v>47</v>
      </c>
      <c r="L294" t="s">
        <v>19</v>
      </c>
      <c r="M294" t="s">
        <v>28</v>
      </c>
      <c r="N294">
        <f>YEAR(Table1[[#This Row],[Date]])</f>
        <v>2020</v>
      </c>
      <c r="O294" t="str">
        <f>TEXT(Table1[[#This Row],[Date]],"mmm")</f>
        <v>Nov</v>
      </c>
      <c r="P294" t="str">
        <f>IF(Table1[[#This Row],[Total_Cost]]&lt;25,"low",IF(Table1[[#This Row],[Total_Cost]]&lt;60,"medium","high"))</f>
        <v>high</v>
      </c>
      <c r="Q294" t="str">
        <f>IF(Table1[[#This Row],[Discount_Applied]]=TRUE,"discount applied","no discount")</f>
        <v>discount applied</v>
      </c>
    </row>
    <row r="295" spans="1:17" x14ac:dyDescent="0.3">
      <c r="A295">
        <v>1000000293</v>
      </c>
      <c r="B295" s="1">
        <v>44084.186516203707</v>
      </c>
      <c r="C295" t="s">
        <v>620</v>
      </c>
      <c r="D295" t="s">
        <v>621</v>
      </c>
      <c r="E295">
        <v>4</v>
      </c>
      <c r="F295">
        <v>20.89</v>
      </c>
      <c r="G295" t="s">
        <v>31</v>
      </c>
      <c r="H295" t="s">
        <v>36</v>
      </c>
      <c r="I295" t="s">
        <v>33</v>
      </c>
      <c r="J295" t="b">
        <v>0</v>
      </c>
      <c r="K295" t="s">
        <v>80</v>
      </c>
      <c r="L295" t="s">
        <v>27</v>
      </c>
      <c r="M295" t="s">
        <v>20</v>
      </c>
      <c r="N295">
        <f>YEAR(Table1[[#This Row],[Date]])</f>
        <v>2020</v>
      </c>
      <c r="O295" t="str">
        <f>TEXT(Table1[[#This Row],[Date]],"mmm")</f>
        <v>Sep</v>
      </c>
      <c r="P295" t="str">
        <f>IF(Table1[[#This Row],[Total_Cost]]&lt;25,"low",IF(Table1[[#This Row],[Total_Cost]]&lt;60,"medium","high"))</f>
        <v>low</v>
      </c>
      <c r="Q295" t="str">
        <f>IF(Table1[[#This Row],[Discount_Applied]]=TRUE,"discount applied","no discount")</f>
        <v>no discount</v>
      </c>
    </row>
    <row r="296" spans="1:17" x14ac:dyDescent="0.3">
      <c r="A296">
        <v>1000000294</v>
      </c>
      <c r="B296" s="1">
        <v>44324.490682870368</v>
      </c>
      <c r="C296" t="s">
        <v>622</v>
      </c>
      <c r="D296" t="s">
        <v>623</v>
      </c>
      <c r="E296">
        <v>2</v>
      </c>
      <c r="F296">
        <v>8.6999999999999993</v>
      </c>
      <c r="G296" t="s">
        <v>15</v>
      </c>
      <c r="H296" t="s">
        <v>77</v>
      </c>
      <c r="I296" t="s">
        <v>59</v>
      </c>
      <c r="J296" t="b">
        <v>1</v>
      </c>
      <c r="K296" t="s">
        <v>47</v>
      </c>
      <c r="L296" t="s">
        <v>19</v>
      </c>
      <c r="M296" t="s">
        <v>20</v>
      </c>
      <c r="N296">
        <f>YEAR(Table1[[#This Row],[Date]])</f>
        <v>2021</v>
      </c>
      <c r="O296" t="str">
        <f>TEXT(Table1[[#This Row],[Date]],"mmm")</f>
        <v>May</v>
      </c>
      <c r="P296" t="str">
        <f>IF(Table1[[#This Row],[Total_Cost]]&lt;25,"low",IF(Table1[[#This Row],[Total_Cost]]&lt;60,"medium","high"))</f>
        <v>low</v>
      </c>
      <c r="Q296" t="str">
        <f>IF(Table1[[#This Row],[Discount_Applied]]=TRUE,"discount applied","no discount")</f>
        <v>discount applied</v>
      </c>
    </row>
    <row r="297" spans="1:17" x14ac:dyDescent="0.3">
      <c r="A297">
        <v>1000000295</v>
      </c>
      <c r="B297" s="1">
        <v>43905.43922453704</v>
      </c>
      <c r="C297" t="s">
        <v>624</v>
      </c>
      <c r="D297" t="s">
        <v>625</v>
      </c>
      <c r="E297">
        <v>4</v>
      </c>
      <c r="F297">
        <v>85.09</v>
      </c>
      <c r="G297" t="s">
        <v>31</v>
      </c>
      <c r="H297" t="s">
        <v>96</v>
      </c>
      <c r="I297" t="s">
        <v>37</v>
      </c>
      <c r="J297" t="b">
        <v>0</v>
      </c>
      <c r="K297" t="s">
        <v>42</v>
      </c>
      <c r="L297" t="s">
        <v>27</v>
      </c>
      <c r="M297" t="s">
        <v>28</v>
      </c>
      <c r="N297">
        <f>YEAR(Table1[[#This Row],[Date]])</f>
        <v>2020</v>
      </c>
      <c r="O297" t="str">
        <f>TEXT(Table1[[#This Row],[Date]],"mmm")</f>
        <v>Mar</v>
      </c>
      <c r="P297" t="str">
        <f>IF(Table1[[#This Row],[Total_Cost]]&lt;25,"low",IF(Table1[[#This Row],[Total_Cost]]&lt;60,"medium","high"))</f>
        <v>high</v>
      </c>
      <c r="Q297" t="str">
        <f>IF(Table1[[#This Row],[Discount_Applied]]=TRUE,"discount applied","no discount")</f>
        <v>no discount</v>
      </c>
    </row>
    <row r="298" spans="1:17" x14ac:dyDescent="0.3">
      <c r="A298">
        <v>1000000296</v>
      </c>
      <c r="B298" s="1">
        <v>44632.82130787037</v>
      </c>
      <c r="C298" t="s">
        <v>626</v>
      </c>
      <c r="D298" t="s">
        <v>627</v>
      </c>
      <c r="E298">
        <v>6</v>
      </c>
      <c r="F298">
        <v>29.08</v>
      </c>
      <c r="G298" t="s">
        <v>41</v>
      </c>
      <c r="H298" t="s">
        <v>16</v>
      </c>
      <c r="I298" t="s">
        <v>59</v>
      </c>
      <c r="J298" t="b">
        <v>0</v>
      </c>
      <c r="K298" t="s">
        <v>80</v>
      </c>
      <c r="L298" t="s">
        <v>27</v>
      </c>
      <c r="M298" t="s">
        <v>43</v>
      </c>
      <c r="N298">
        <f>YEAR(Table1[[#This Row],[Date]])</f>
        <v>2022</v>
      </c>
      <c r="O298" t="str">
        <f>TEXT(Table1[[#This Row],[Date]],"mmm")</f>
        <v>Mar</v>
      </c>
      <c r="P298" t="str">
        <f>IF(Table1[[#This Row],[Total_Cost]]&lt;25,"low",IF(Table1[[#This Row],[Total_Cost]]&lt;60,"medium","high"))</f>
        <v>medium</v>
      </c>
      <c r="Q298" t="str">
        <f>IF(Table1[[#This Row],[Discount_Applied]]=TRUE,"discount applied","no discount")</f>
        <v>no discount</v>
      </c>
    </row>
    <row r="299" spans="1:17" x14ac:dyDescent="0.3">
      <c r="A299">
        <v>1000000297</v>
      </c>
      <c r="B299" s="1">
        <v>44047.470497685186</v>
      </c>
      <c r="C299" t="s">
        <v>628</v>
      </c>
      <c r="D299" t="s">
        <v>246</v>
      </c>
      <c r="E299">
        <v>9</v>
      </c>
      <c r="F299">
        <v>32.57</v>
      </c>
      <c r="G299" t="s">
        <v>15</v>
      </c>
      <c r="H299" t="s">
        <v>24</v>
      </c>
      <c r="I299" t="s">
        <v>25</v>
      </c>
      <c r="J299" t="b">
        <v>0</v>
      </c>
      <c r="K299" t="s">
        <v>87</v>
      </c>
      <c r="L299" t="s">
        <v>19</v>
      </c>
      <c r="M299" t="s">
        <v>28</v>
      </c>
      <c r="N299">
        <f>YEAR(Table1[[#This Row],[Date]])</f>
        <v>2020</v>
      </c>
      <c r="O299" t="str">
        <f>TEXT(Table1[[#This Row],[Date]],"mmm")</f>
        <v>Aug</v>
      </c>
      <c r="P299" t="str">
        <f>IF(Table1[[#This Row],[Total_Cost]]&lt;25,"low",IF(Table1[[#This Row],[Total_Cost]]&lt;60,"medium","high"))</f>
        <v>medium</v>
      </c>
      <c r="Q299" t="str">
        <f>IF(Table1[[#This Row],[Discount_Applied]]=TRUE,"discount applied","no discount")</f>
        <v>no discount</v>
      </c>
    </row>
    <row r="300" spans="1:17" x14ac:dyDescent="0.3">
      <c r="A300">
        <v>1000000298</v>
      </c>
      <c r="B300" s="1">
        <v>44602.44703703704</v>
      </c>
      <c r="C300" t="s">
        <v>629</v>
      </c>
      <c r="D300" t="s">
        <v>630</v>
      </c>
      <c r="E300">
        <v>8</v>
      </c>
      <c r="F300">
        <v>10.35</v>
      </c>
      <c r="G300" t="s">
        <v>23</v>
      </c>
      <c r="H300" t="s">
        <v>50</v>
      </c>
      <c r="I300" t="s">
        <v>46</v>
      </c>
      <c r="J300" t="b">
        <v>1</v>
      </c>
      <c r="K300" t="s">
        <v>80</v>
      </c>
      <c r="L300" t="s">
        <v>19</v>
      </c>
      <c r="M300" t="s">
        <v>28</v>
      </c>
      <c r="N300">
        <f>YEAR(Table1[[#This Row],[Date]])</f>
        <v>2022</v>
      </c>
      <c r="O300" t="str">
        <f>TEXT(Table1[[#This Row],[Date]],"mmm")</f>
        <v>Feb</v>
      </c>
      <c r="P300" t="str">
        <f>IF(Table1[[#This Row],[Total_Cost]]&lt;25,"low",IF(Table1[[#This Row],[Total_Cost]]&lt;60,"medium","high"))</f>
        <v>low</v>
      </c>
      <c r="Q300" t="str">
        <f>IF(Table1[[#This Row],[Discount_Applied]]=TRUE,"discount applied","no discount")</f>
        <v>discount applied</v>
      </c>
    </row>
    <row r="301" spans="1:17" x14ac:dyDescent="0.3">
      <c r="A301">
        <v>1000000299</v>
      </c>
      <c r="B301" s="1">
        <v>45374.205439814818</v>
      </c>
      <c r="C301" t="s">
        <v>631</v>
      </c>
      <c r="D301" t="s">
        <v>632</v>
      </c>
      <c r="E301">
        <v>7</v>
      </c>
      <c r="F301">
        <v>38.49</v>
      </c>
      <c r="G301" t="s">
        <v>31</v>
      </c>
      <c r="H301" t="s">
        <v>129</v>
      </c>
      <c r="I301" t="s">
        <v>37</v>
      </c>
      <c r="J301" t="b">
        <v>0</v>
      </c>
      <c r="K301" t="s">
        <v>80</v>
      </c>
      <c r="L301" t="s">
        <v>38</v>
      </c>
      <c r="M301" t="s">
        <v>28</v>
      </c>
      <c r="N301">
        <f>YEAR(Table1[[#This Row],[Date]])</f>
        <v>2024</v>
      </c>
      <c r="O301" t="str">
        <f>TEXT(Table1[[#This Row],[Date]],"mmm")</f>
        <v>Mar</v>
      </c>
      <c r="P301" t="str">
        <f>IF(Table1[[#This Row],[Total_Cost]]&lt;25,"low",IF(Table1[[#This Row],[Total_Cost]]&lt;60,"medium","high"))</f>
        <v>medium</v>
      </c>
      <c r="Q301" t="str">
        <f>IF(Table1[[#This Row],[Discount_Applied]]=TRUE,"discount applied","no discount")</f>
        <v>no discount</v>
      </c>
    </row>
    <row r="302" spans="1:17" x14ac:dyDescent="0.3">
      <c r="A302">
        <v>1000000300</v>
      </c>
      <c r="B302" s="1">
        <v>44352.365740740737</v>
      </c>
      <c r="C302" t="s">
        <v>633</v>
      </c>
      <c r="D302" t="s">
        <v>634</v>
      </c>
      <c r="E302">
        <v>6</v>
      </c>
      <c r="F302">
        <v>39.630000000000003</v>
      </c>
      <c r="G302" t="s">
        <v>15</v>
      </c>
      <c r="H302" t="s">
        <v>24</v>
      </c>
      <c r="I302" t="s">
        <v>59</v>
      </c>
      <c r="J302" t="b">
        <v>0</v>
      </c>
      <c r="K302" t="s">
        <v>62</v>
      </c>
      <c r="L302" t="s">
        <v>27</v>
      </c>
      <c r="M302" t="s">
        <v>28</v>
      </c>
      <c r="N302">
        <f>YEAR(Table1[[#This Row],[Date]])</f>
        <v>2021</v>
      </c>
      <c r="O302" t="str">
        <f>TEXT(Table1[[#This Row],[Date]],"mmm")</f>
        <v>Jun</v>
      </c>
      <c r="P302" t="str">
        <f>IF(Table1[[#This Row],[Total_Cost]]&lt;25,"low",IF(Table1[[#This Row],[Total_Cost]]&lt;60,"medium","high"))</f>
        <v>medium</v>
      </c>
      <c r="Q302" t="str">
        <f>IF(Table1[[#This Row],[Discount_Applied]]=TRUE,"discount applied","no discount")</f>
        <v>no discount</v>
      </c>
    </row>
    <row r="303" spans="1:17" x14ac:dyDescent="0.3">
      <c r="A303">
        <v>1000000301</v>
      </c>
      <c r="B303" s="1">
        <v>45122.996701388889</v>
      </c>
      <c r="C303" t="s">
        <v>614</v>
      </c>
      <c r="D303" t="s">
        <v>635</v>
      </c>
      <c r="E303">
        <v>10</v>
      </c>
      <c r="F303">
        <v>23.55</v>
      </c>
      <c r="G303" t="s">
        <v>31</v>
      </c>
      <c r="H303" t="s">
        <v>36</v>
      </c>
      <c r="I303" t="s">
        <v>33</v>
      </c>
      <c r="J303" t="b">
        <v>1</v>
      </c>
      <c r="K303" t="s">
        <v>80</v>
      </c>
      <c r="L303" t="s">
        <v>38</v>
      </c>
      <c r="M303" t="s">
        <v>28</v>
      </c>
      <c r="N303">
        <f>YEAR(Table1[[#This Row],[Date]])</f>
        <v>2023</v>
      </c>
      <c r="O303" t="str">
        <f>TEXT(Table1[[#This Row],[Date]],"mmm")</f>
        <v>Jul</v>
      </c>
      <c r="P303" t="str">
        <f>IF(Table1[[#This Row],[Total_Cost]]&lt;25,"low",IF(Table1[[#This Row],[Total_Cost]]&lt;60,"medium","high"))</f>
        <v>low</v>
      </c>
      <c r="Q303" t="str">
        <f>IF(Table1[[#This Row],[Discount_Applied]]=TRUE,"discount applied","no discount")</f>
        <v>discount applied</v>
      </c>
    </row>
    <row r="304" spans="1:17" x14ac:dyDescent="0.3">
      <c r="A304">
        <v>1000000302</v>
      </c>
      <c r="B304" s="1">
        <v>43986.645104166666</v>
      </c>
      <c r="C304" t="s">
        <v>636</v>
      </c>
      <c r="D304" t="s">
        <v>637</v>
      </c>
      <c r="E304">
        <v>8</v>
      </c>
      <c r="F304">
        <v>32.72</v>
      </c>
      <c r="G304" t="s">
        <v>23</v>
      </c>
      <c r="H304" t="s">
        <v>36</v>
      </c>
      <c r="I304" t="s">
        <v>37</v>
      </c>
      <c r="J304" t="b">
        <v>0</v>
      </c>
      <c r="K304" t="s">
        <v>51</v>
      </c>
      <c r="L304" t="s">
        <v>52</v>
      </c>
      <c r="M304" t="s">
        <v>28</v>
      </c>
      <c r="N304">
        <f>YEAR(Table1[[#This Row],[Date]])</f>
        <v>2020</v>
      </c>
      <c r="O304" t="str">
        <f>TEXT(Table1[[#This Row],[Date]],"mmm")</f>
        <v>Jun</v>
      </c>
      <c r="P304" t="str">
        <f>IF(Table1[[#This Row],[Total_Cost]]&lt;25,"low",IF(Table1[[#This Row],[Total_Cost]]&lt;60,"medium","high"))</f>
        <v>medium</v>
      </c>
      <c r="Q304" t="str">
        <f>IF(Table1[[#This Row],[Discount_Applied]]=TRUE,"discount applied","no discount")</f>
        <v>no discount</v>
      </c>
    </row>
    <row r="305" spans="1:17" x14ac:dyDescent="0.3">
      <c r="A305">
        <v>1000000303</v>
      </c>
      <c r="B305" s="1">
        <v>44251.782650462963</v>
      </c>
      <c r="C305" t="s">
        <v>638</v>
      </c>
      <c r="D305" t="s">
        <v>639</v>
      </c>
      <c r="E305">
        <v>3</v>
      </c>
      <c r="F305">
        <v>67.55</v>
      </c>
      <c r="G305" t="s">
        <v>41</v>
      </c>
      <c r="H305" t="s">
        <v>24</v>
      </c>
      <c r="I305" t="s">
        <v>33</v>
      </c>
      <c r="J305" t="b">
        <v>0</v>
      </c>
      <c r="K305" t="s">
        <v>51</v>
      </c>
      <c r="L305" t="s">
        <v>19</v>
      </c>
      <c r="M305" t="s">
        <v>20</v>
      </c>
      <c r="N305">
        <f>YEAR(Table1[[#This Row],[Date]])</f>
        <v>2021</v>
      </c>
      <c r="O305" t="str">
        <f>TEXT(Table1[[#This Row],[Date]],"mmm")</f>
        <v>Feb</v>
      </c>
      <c r="P305" t="str">
        <f>IF(Table1[[#This Row],[Total_Cost]]&lt;25,"low",IF(Table1[[#This Row],[Total_Cost]]&lt;60,"medium","high"))</f>
        <v>high</v>
      </c>
      <c r="Q305" t="str">
        <f>IF(Table1[[#This Row],[Discount_Applied]]=TRUE,"discount applied","no discount")</f>
        <v>no discount</v>
      </c>
    </row>
    <row r="306" spans="1:17" x14ac:dyDescent="0.3">
      <c r="A306">
        <v>1000000304</v>
      </c>
      <c r="B306" s="1">
        <v>44912.735208333332</v>
      </c>
      <c r="C306" t="s">
        <v>640</v>
      </c>
      <c r="D306" t="s">
        <v>641</v>
      </c>
      <c r="E306">
        <v>6</v>
      </c>
      <c r="F306">
        <v>64.239999999999995</v>
      </c>
      <c r="G306" t="s">
        <v>15</v>
      </c>
      <c r="H306" t="s">
        <v>70</v>
      </c>
      <c r="I306" t="s">
        <v>46</v>
      </c>
      <c r="J306" t="b">
        <v>0</v>
      </c>
      <c r="K306" t="s">
        <v>51</v>
      </c>
      <c r="L306" t="s">
        <v>19</v>
      </c>
      <c r="M306" t="s">
        <v>43</v>
      </c>
      <c r="N306">
        <f>YEAR(Table1[[#This Row],[Date]])</f>
        <v>2022</v>
      </c>
      <c r="O306" t="str">
        <f>TEXT(Table1[[#This Row],[Date]],"mmm")</f>
        <v>Dec</v>
      </c>
      <c r="P306" t="str">
        <f>IF(Table1[[#This Row],[Total_Cost]]&lt;25,"low",IF(Table1[[#This Row],[Total_Cost]]&lt;60,"medium","high"))</f>
        <v>high</v>
      </c>
      <c r="Q306" t="str">
        <f>IF(Table1[[#This Row],[Discount_Applied]]=TRUE,"discount applied","no discount")</f>
        <v>no discount</v>
      </c>
    </row>
    <row r="307" spans="1:17" x14ac:dyDescent="0.3">
      <c r="A307">
        <v>1000000305</v>
      </c>
      <c r="B307" s="1">
        <v>44605.195937500001</v>
      </c>
      <c r="C307" t="s">
        <v>642</v>
      </c>
      <c r="D307" t="s">
        <v>84</v>
      </c>
      <c r="E307">
        <v>4</v>
      </c>
      <c r="F307">
        <v>55.28</v>
      </c>
      <c r="G307" t="s">
        <v>15</v>
      </c>
      <c r="H307" t="s">
        <v>70</v>
      </c>
      <c r="I307" t="s">
        <v>46</v>
      </c>
      <c r="J307" t="b">
        <v>1</v>
      </c>
      <c r="K307" t="s">
        <v>42</v>
      </c>
      <c r="L307" t="s">
        <v>27</v>
      </c>
      <c r="M307" t="s">
        <v>28</v>
      </c>
      <c r="N307">
        <f>YEAR(Table1[[#This Row],[Date]])</f>
        <v>2022</v>
      </c>
      <c r="O307" t="str">
        <f>TEXT(Table1[[#This Row],[Date]],"mmm")</f>
        <v>Feb</v>
      </c>
      <c r="P307" t="str">
        <f>IF(Table1[[#This Row],[Total_Cost]]&lt;25,"low",IF(Table1[[#This Row],[Total_Cost]]&lt;60,"medium","high"))</f>
        <v>medium</v>
      </c>
      <c r="Q307" t="str">
        <f>IF(Table1[[#This Row],[Discount_Applied]]=TRUE,"discount applied","no discount")</f>
        <v>discount applied</v>
      </c>
    </row>
    <row r="308" spans="1:17" x14ac:dyDescent="0.3">
      <c r="A308">
        <v>1000000306</v>
      </c>
      <c r="B308" s="1">
        <v>45030.3047337963</v>
      </c>
      <c r="C308" t="s">
        <v>643</v>
      </c>
      <c r="D308" t="s">
        <v>487</v>
      </c>
      <c r="E308">
        <v>9</v>
      </c>
      <c r="F308">
        <v>79.37</v>
      </c>
      <c r="G308" t="s">
        <v>41</v>
      </c>
      <c r="H308" t="s">
        <v>16</v>
      </c>
      <c r="I308" t="s">
        <v>37</v>
      </c>
      <c r="J308" t="b">
        <v>1</v>
      </c>
      <c r="K308" t="s">
        <v>87</v>
      </c>
      <c r="L308" t="s">
        <v>52</v>
      </c>
      <c r="M308" t="s">
        <v>28</v>
      </c>
      <c r="N308">
        <f>YEAR(Table1[[#This Row],[Date]])</f>
        <v>2023</v>
      </c>
      <c r="O308" t="str">
        <f>TEXT(Table1[[#This Row],[Date]],"mmm")</f>
        <v>Apr</v>
      </c>
      <c r="P308" t="str">
        <f>IF(Table1[[#This Row],[Total_Cost]]&lt;25,"low",IF(Table1[[#This Row],[Total_Cost]]&lt;60,"medium","high"))</f>
        <v>high</v>
      </c>
      <c r="Q308" t="str">
        <f>IF(Table1[[#This Row],[Discount_Applied]]=TRUE,"discount applied","no discount")</f>
        <v>discount applied</v>
      </c>
    </row>
    <row r="309" spans="1:17" x14ac:dyDescent="0.3">
      <c r="A309">
        <v>1000000307</v>
      </c>
      <c r="B309" s="1">
        <v>44237.180659722224</v>
      </c>
      <c r="C309" t="s">
        <v>644</v>
      </c>
      <c r="D309" t="s">
        <v>645</v>
      </c>
      <c r="E309">
        <v>1</v>
      </c>
      <c r="F309">
        <v>87.95</v>
      </c>
      <c r="G309" t="s">
        <v>41</v>
      </c>
      <c r="H309" t="s">
        <v>77</v>
      </c>
      <c r="I309" t="s">
        <v>37</v>
      </c>
      <c r="J309" t="b">
        <v>1</v>
      </c>
      <c r="K309" t="s">
        <v>62</v>
      </c>
      <c r="L309" t="s">
        <v>38</v>
      </c>
      <c r="M309" t="s">
        <v>43</v>
      </c>
      <c r="N309">
        <f>YEAR(Table1[[#This Row],[Date]])</f>
        <v>2021</v>
      </c>
      <c r="O309" t="str">
        <f>TEXT(Table1[[#This Row],[Date]],"mmm")</f>
        <v>Feb</v>
      </c>
      <c r="P309" t="str">
        <f>IF(Table1[[#This Row],[Total_Cost]]&lt;25,"low",IF(Table1[[#This Row],[Total_Cost]]&lt;60,"medium","high"))</f>
        <v>high</v>
      </c>
      <c r="Q309" t="str">
        <f>IF(Table1[[#This Row],[Discount_Applied]]=TRUE,"discount applied","no discount")</f>
        <v>discount applied</v>
      </c>
    </row>
    <row r="310" spans="1:17" x14ac:dyDescent="0.3">
      <c r="A310">
        <v>1000000308</v>
      </c>
      <c r="B310" s="1">
        <v>45099.895069444443</v>
      </c>
      <c r="C310" t="s">
        <v>646</v>
      </c>
      <c r="D310" t="s">
        <v>647</v>
      </c>
      <c r="E310">
        <v>4</v>
      </c>
      <c r="F310">
        <v>40.299999999999997</v>
      </c>
      <c r="G310" t="s">
        <v>23</v>
      </c>
      <c r="H310" t="s">
        <v>16</v>
      </c>
      <c r="I310" t="s">
        <v>46</v>
      </c>
      <c r="J310" t="b">
        <v>0</v>
      </c>
      <c r="K310" t="s">
        <v>26</v>
      </c>
      <c r="L310" t="s">
        <v>52</v>
      </c>
      <c r="M310" t="s">
        <v>43</v>
      </c>
      <c r="N310">
        <f>YEAR(Table1[[#This Row],[Date]])</f>
        <v>2023</v>
      </c>
      <c r="O310" t="str">
        <f>TEXT(Table1[[#This Row],[Date]],"mmm")</f>
        <v>Jun</v>
      </c>
      <c r="P310" t="str">
        <f>IF(Table1[[#This Row],[Total_Cost]]&lt;25,"low",IF(Table1[[#This Row],[Total_Cost]]&lt;60,"medium","high"))</f>
        <v>medium</v>
      </c>
      <c r="Q310" t="str">
        <f>IF(Table1[[#This Row],[Discount_Applied]]=TRUE,"discount applied","no discount")</f>
        <v>no discount</v>
      </c>
    </row>
    <row r="311" spans="1:17" x14ac:dyDescent="0.3">
      <c r="A311">
        <v>1000000309</v>
      </c>
      <c r="B311" s="1">
        <v>44954.874571759261</v>
      </c>
      <c r="C311" t="s">
        <v>648</v>
      </c>
      <c r="D311" t="s">
        <v>649</v>
      </c>
      <c r="E311">
        <v>1</v>
      </c>
      <c r="F311">
        <v>30.56</v>
      </c>
      <c r="G311" t="s">
        <v>15</v>
      </c>
      <c r="H311" t="s">
        <v>36</v>
      </c>
      <c r="I311" t="s">
        <v>17</v>
      </c>
      <c r="J311" t="b">
        <v>1</v>
      </c>
      <c r="K311" t="s">
        <v>26</v>
      </c>
      <c r="L311" t="s">
        <v>52</v>
      </c>
      <c r="M311" t="s">
        <v>28</v>
      </c>
      <c r="N311">
        <f>YEAR(Table1[[#This Row],[Date]])</f>
        <v>2023</v>
      </c>
      <c r="O311" t="str">
        <f>TEXT(Table1[[#This Row],[Date]],"mmm")</f>
        <v>Jan</v>
      </c>
      <c r="P311" t="str">
        <f>IF(Table1[[#This Row],[Total_Cost]]&lt;25,"low",IF(Table1[[#This Row],[Total_Cost]]&lt;60,"medium","high"))</f>
        <v>medium</v>
      </c>
      <c r="Q311" t="str">
        <f>IF(Table1[[#This Row],[Discount_Applied]]=TRUE,"discount applied","no discount")</f>
        <v>discount applied</v>
      </c>
    </row>
    <row r="312" spans="1:17" x14ac:dyDescent="0.3">
      <c r="A312">
        <v>1000000310</v>
      </c>
      <c r="B312" s="1">
        <v>44791.335069444445</v>
      </c>
      <c r="C312" t="s">
        <v>650</v>
      </c>
      <c r="D312" t="s">
        <v>651</v>
      </c>
      <c r="E312">
        <v>2</v>
      </c>
      <c r="F312">
        <v>50.36</v>
      </c>
      <c r="G312" t="s">
        <v>31</v>
      </c>
      <c r="H312" t="s">
        <v>96</v>
      </c>
      <c r="I312" t="s">
        <v>33</v>
      </c>
      <c r="J312" t="b">
        <v>1</v>
      </c>
      <c r="K312" t="s">
        <v>51</v>
      </c>
      <c r="L312" t="s">
        <v>19</v>
      </c>
      <c r="M312" t="s">
        <v>28</v>
      </c>
      <c r="N312">
        <f>YEAR(Table1[[#This Row],[Date]])</f>
        <v>2022</v>
      </c>
      <c r="O312" t="str">
        <f>TEXT(Table1[[#This Row],[Date]],"mmm")</f>
        <v>Aug</v>
      </c>
      <c r="P312" t="str">
        <f>IF(Table1[[#This Row],[Total_Cost]]&lt;25,"low",IF(Table1[[#This Row],[Total_Cost]]&lt;60,"medium","high"))</f>
        <v>medium</v>
      </c>
      <c r="Q312" t="str">
        <f>IF(Table1[[#This Row],[Discount_Applied]]=TRUE,"discount applied","no discount")</f>
        <v>discount applied</v>
      </c>
    </row>
    <row r="313" spans="1:17" x14ac:dyDescent="0.3">
      <c r="A313">
        <v>1000000311</v>
      </c>
      <c r="B313" s="1">
        <v>43837.066643518519</v>
      </c>
      <c r="C313" t="s">
        <v>652</v>
      </c>
      <c r="D313" t="s">
        <v>653</v>
      </c>
      <c r="E313">
        <v>4</v>
      </c>
      <c r="F313">
        <v>90.15</v>
      </c>
      <c r="G313" t="s">
        <v>41</v>
      </c>
      <c r="H313" t="s">
        <v>65</v>
      </c>
      <c r="I313" t="s">
        <v>33</v>
      </c>
      <c r="J313" t="b">
        <v>1</v>
      </c>
      <c r="K313" t="s">
        <v>18</v>
      </c>
      <c r="L313" t="s">
        <v>27</v>
      </c>
      <c r="M313" t="s">
        <v>43</v>
      </c>
      <c r="N313">
        <f>YEAR(Table1[[#This Row],[Date]])</f>
        <v>2020</v>
      </c>
      <c r="O313" t="str">
        <f>TEXT(Table1[[#This Row],[Date]],"mmm")</f>
        <v>Jan</v>
      </c>
      <c r="P313" t="str">
        <f>IF(Table1[[#This Row],[Total_Cost]]&lt;25,"low",IF(Table1[[#This Row],[Total_Cost]]&lt;60,"medium","high"))</f>
        <v>high</v>
      </c>
      <c r="Q313" t="str">
        <f>IF(Table1[[#This Row],[Discount_Applied]]=TRUE,"discount applied","no discount")</f>
        <v>discount applied</v>
      </c>
    </row>
    <row r="314" spans="1:17" x14ac:dyDescent="0.3">
      <c r="A314">
        <v>1000000312</v>
      </c>
      <c r="B314" s="1">
        <v>44167.758518518516</v>
      </c>
      <c r="C314" t="s">
        <v>654</v>
      </c>
      <c r="D314" t="s">
        <v>248</v>
      </c>
      <c r="E314">
        <v>1</v>
      </c>
      <c r="F314">
        <v>42.33</v>
      </c>
      <c r="G314" t="s">
        <v>41</v>
      </c>
      <c r="H314" t="s">
        <v>129</v>
      </c>
      <c r="I314" t="s">
        <v>17</v>
      </c>
      <c r="J314" t="b">
        <v>1</v>
      </c>
      <c r="K314" t="s">
        <v>51</v>
      </c>
      <c r="L314" t="s">
        <v>38</v>
      </c>
      <c r="M314" t="s">
        <v>28</v>
      </c>
      <c r="N314">
        <f>YEAR(Table1[[#This Row],[Date]])</f>
        <v>2020</v>
      </c>
      <c r="O314" t="str">
        <f>TEXT(Table1[[#This Row],[Date]],"mmm")</f>
        <v>Dec</v>
      </c>
      <c r="P314" t="str">
        <f>IF(Table1[[#This Row],[Total_Cost]]&lt;25,"low",IF(Table1[[#This Row],[Total_Cost]]&lt;60,"medium","high"))</f>
        <v>medium</v>
      </c>
      <c r="Q314" t="str">
        <f>IF(Table1[[#This Row],[Discount_Applied]]=TRUE,"discount applied","no discount")</f>
        <v>discount applied</v>
      </c>
    </row>
    <row r="315" spans="1:17" x14ac:dyDescent="0.3">
      <c r="A315">
        <v>1000000313</v>
      </c>
      <c r="B315" s="1">
        <v>44922.38989583333</v>
      </c>
      <c r="C315" t="s">
        <v>655</v>
      </c>
      <c r="D315" t="s">
        <v>656</v>
      </c>
      <c r="E315">
        <v>7</v>
      </c>
      <c r="F315">
        <v>85.12</v>
      </c>
      <c r="G315" t="s">
        <v>15</v>
      </c>
      <c r="H315" t="s">
        <v>24</v>
      </c>
      <c r="I315" t="s">
        <v>46</v>
      </c>
      <c r="J315" t="b">
        <v>1</v>
      </c>
      <c r="K315" t="s">
        <v>42</v>
      </c>
      <c r="L315" t="s">
        <v>38</v>
      </c>
      <c r="M315" t="s">
        <v>28</v>
      </c>
      <c r="N315">
        <f>YEAR(Table1[[#This Row],[Date]])</f>
        <v>2022</v>
      </c>
      <c r="O315" t="str">
        <f>TEXT(Table1[[#This Row],[Date]],"mmm")</f>
        <v>Dec</v>
      </c>
      <c r="P315" t="str">
        <f>IF(Table1[[#This Row],[Total_Cost]]&lt;25,"low",IF(Table1[[#This Row],[Total_Cost]]&lt;60,"medium","high"))</f>
        <v>high</v>
      </c>
      <c r="Q315" t="str">
        <f>IF(Table1[[#This Row],[Discount_Applied]]=TRUE,"discount applied","no discount")</f>
        <v>discount applied</v>
      </c>
    </row>
    <row r="316" spans="1:17" x14ac:dyDescent="0.3">
      <c r="A316">
        <v>1000000314</v>
      </c>
      <c r="B316" s="1">
        <v>45113.504305555558</v>
      </c>
      <c r="C316" t="s">
        <v>657</v>
      </c>
      <c r="D316" t="s">
        <v>658</v>
      </c>
      <c r="E316">
        <v>7</v>
      </c>
      <c r="F316">
        <v>72.38</v>
      </c>
      <c r="G316" t="s">
        <v>41</v>
      </c>
      <c r="H316" t="s">
        <v>50</v>
      </c>
      <c r="I316" t="s">
        <v>37</v>
      </c>
      <c r="J316" t="b">
        <v>0</v>
      </c>
      <c r="K316" t="s">
        <v>26</v>
      </c>
      <c r="L316" t="s">
        <v>38</v>
      </c>
      <c r="M316" t="s">
        <v>20</v>
      </c>
      <c r="N316">
        <f>YEAR(Table1[[#This Row],[Date]])</f>
        <v>2023</v>
      </c>
      <c r="O316" t="str">
        <f>TEXT(Table1[[#This Row],[Date]],"mmm")</f>
        <v>Jul</v>
      </c>
      <c r="P316" t="str">
        <f>IF(Table1[[#This Row],[Total_Cost]]&lt;25,"low",IF(Table1[[#This Row],[Total_Cost]]&lt;60,"medium","high"))</f>
        <v>high</v>
      </c>
      <c r="Q316" t="str">
        <f>IF(Table1[[#This Row],[Discount_Applied]]=TRUE,"discount applied","no discount")</f>
        <v>no discount</v>
      </c>
    </row>
    <row r="317" spans="1:17" x14ac:dyDescent="0.3">
      <c r="A317">
        <v>1000000315</v>
      </c>
      <c r="B317" s="1">
        <v>45352.757199074076</v>
      </c>
      <c r="C317" t="s">
        <v>659</v>
      </c>
      <c r="D317" t="s">
        <v>139</v>
      </c>
      <c r="E317">
        <v>4</v>
      </c>
      <c r="F317">
        <v>57.72</v>
      </c>
      <c r="G317" t="s">
        <v>31</v>
      </c>
      <c r="H317" t="s">
        <v>77</v>
      </c>
      <c r="I317" t="s">
        <v>37</v>
      </c>
      <c r="J317" t="b">
        <v>1</v>
      </c>
      <c r="K317" t="s">
        <v>87</v>
      </c>
      <c r="L317" t="s">
        <v>38</v>
      </c>
      <c r="M317" t="s">
        <v>28</v>
      </c>
      <c r="N317">
        <f>YEAR(Table1[[#This Row],[Date]])</f>
        <v>2024</v>
      </c>
      <c r="O317" t="str">
        <f>TEXT(Table1[[#This Row],[Date]],"mmm")</f>
        <v>Mar</v>
      </c>
      <c r="P317" t="str">
        <f>IF(Table1[[#This Row],[Total_Cost]]&lt;25,"low",IF(Table1[[#This Row],[Total_Cost]]&lt;60,"medium","high"))</f>
        <v>medium</v>
      </c>
      <c r="Q317" t="str">
        <f>IF(Table1[[#This Row],[Discount_Applied]]=TRUE,"discount applied","no discount")</f>
        <v>discount applied</v>
      </c>
    </row>
    <row r="318" spans="1:17" x14ac:dyDescent="0.3">
      <c r="A318">
        <v>1000000316</v>
      </c>
      <c r="B318" s="1">
        <v>44006.209050925929</v>
      </c>
      <c r="C318" t="s">
        <v>660</v>
      </c>
      <c r="D318" t="s">
        <v>661</v>
      </c>
      <c r="E318">
        <v>8</v>
      </c>
      <c r="F318">
        <v>13</v>
      </c>
      <c r="G318" t="s">
        <v>31</v>
      </c>
      <c r="H318" t="s">
        <v>70</v>
      </c>
      <c r="I318" t="s">
        <v>46</v>
      </c>
      <c r="J318" t="b">
        <v>0</v>
      </c>
      <c r="K318" t="s">
        <v>62</v>
      </c>
      <c r="L318" t="s">
        <v>27</v>
      </c>
      <c r="M318" t="s">
        <v>43</v>
      </c>
      <c r="N318">
        <f>YEAR(Table1[[#This Row],[Date]])</f>
        <v>2020</v>
      </c>
      <c r="O318" t="str">
        <f>TEXT(Table1[[#This Row],[Date]],"mmm")</f>
        <v>Jun</v>
      </c>
      <c r="P318" t="str">
        <f>IF(Table1[[#This Row],[Total_Cost]]&lt;25,"low",IF(Table1[[#This Row],[Total_Cost]]&lt;60,"medium","high"))</f>
        <v>low</v>
      </c>
      <c r="Q318" t="str">
        <f>IF(Table1[[#This Row],[Discount_Applied]]=TRUE,"discount applied","no discount")</f>
        <v>no discount</v>
      </c>
    </row>
    <row r="319" spans="1:17" x14ac:dyDescent="0.3">
      <c r="A319">
        <v>1000000317</v>
      </c>
      <c r="B319" s="1">
        <v>44107.576886574076</v>
      </c>
      <c r="C319" t="s">
        <v>662</v>
      </c>
      <c r="D319" t="s">
        <v>122</v>
      </c>
      <c r="E319">
        <v>5</v>
      </c>
      <c r="F319">
        <v>10.01</v>
      </c>
      <c r="G319" t="s">
        <v>31</v>
      </c>
      <c r="H319" t="s">
        <v>36</v>
      </c>
      <c r="I319" t="s">
        <v>25</v>
      </c>
      <c r="J319" t="b">
        <v>0</v>
      </c>
      <c r="K319" t="s">
        <v>18</v>
      </c>
      <c r="L319" t="s">
        <v>27</v>
      </c>
      <c r="M319" t="s">
        <v>20</v>
      </c>
      <c r="N319">
        <f>YEAR(Table1[[#This Row],[Date]])</f>
        <v>2020</v>
      </c>
      <c r="O319" t="str">
        <f>TEXT(Table1[[#This Row],[Date]],"mmm")</f>
        <v>Oct</v>
      </c>
      <c r="P319" t="str">
        <f>IF(Table1[[#This Row],[Total_Cost]]&lt;25,"low",IF(Table1[[#This Row],[Total_Cost]]&lt;60,"medium","high"))</f>
        <v>low</v>
      </c>
      <c r="Q319" t="str">
        <f>IF(Table1[[#This Row],[Discount_Applied]]=TRUE,"discount applied","no discount")</f>
        <v>no discount</v>
      </c>
    </row>
    <row r="320" spans="1:17" x14ac:dyDescent="0.3">
      <c r="A320">
        <v>1000000318</v>
      </c>
      <c r="B320" s="1">
        <v>44959.087268518517</v>
      </c>
      <c r="C320" t="s">
        <v>663</v>
      </c>
      <c r="D320" t="s">
        <v>664</v>
      </c>
      <c r="E320">
        <v>1</v>
      </c>
      <c r="F320">
        <v>31.74</v>
      </c>
      <c r="G320" t="s">
        <v>15</v>
      </c>
      <c r="H320" t="s">
        <v>32</v>
      </c>
      <c r="I320" t="s">
        <v>46</v>
      </c>
      <c r="J320" t="b">
        <v>0</v>
      </c>
      <c r="K320" t="s">
        <v>26</v>
      </c>
      <c r="L320" t="s">
        <v>38</v>
      </c>
      <c r="M320" t="s">
        <v>28</v>
      </c>
      <c r="N320">
        <f>YEAR(Table1[[#This Row],[Date]])</f>
        <v>2023</v>
      </c>
      <c r="O320" t="str">
        <f>TEXT(Table1[[#This Row],[Date]],"mmm")</f>
        <v>Feb</v>
      </c>
      <c r="P320" t="str">
        <f>IF(Table1[[#This Row],[Total_Cost]]&lt;25,"low",IF(Table1[[#This Row],[Total_Cost]]&lt;60,"medium","high"))</f>
        <v>medium</v>
      </c>
      <c r="Q320" t="str">
        <f>IF(Table1[[#This Row],[Discount_Applied]]=TRUE,"discount applied","no discount")</f>
        <v>no discount</v>
      </c>
    </row>
    <row r="321" spans="1:17" x14ac:dyDescent="0.3">
      <c r="A321">
        <v>1000000319</v>
      </c>
      <c r="B321" s="1">
        <v>44765.217488425929</v>
      </c>
      <c r="C321" t="s">
        <v>665</v>
      </c>
      <c r="D321" t="s">
        <v>666</v>
      </c>
      <c r="E321">
        <v>8</v>
      </c>
      <c r="F321">
        <v>49.45</v>
      </c>
      <c r="G321" t="s">
        <v>41</v>
      </c>
      <c r="H321" t="s">
        <v>50</v>
      </c>
      <c r="I321" t="s">
        <v>59</v>
      </c>
      <c r="J321" t="b">
        <v>1</v>
      </c>
      <c r="K321" t="s">
        <v>80</v>
      </c>
      <c r="L321" t="s">
        <v>27</v>
      </c>
      <c r="M321" t="s">
        <v>43</v>
      </c>
      <c r="N321">
        <f>YEAR(Table1[[#This Row],[Date]])</f>
        <v>2022</v>
      </c>
      <c r="O321" t="str">
        <f>TEXT(Table1[[#This Row],[Date]],"mmm")</f>
        <v>Jul</v>
      </c>
      <c r="P321" t="str">
        <f>IF(Table1[[#This Row],[Total_Cost]]&lt;25,"low",IF(Table1[[#This Row],[Total_Cost]]&lt;60,"medium","high"))</f>
        <v>medium</v>
      </c>
      <c r="Q321" t="str">
        <f>IF(Table1[[#This Row],[Discount_Applied]]=TRUE,"discount applied","no discount")</f>
        <v>discount applied</v>
      </c>
    </row>
    <row r="322" spans="1:17" x14ac:dyDescent="0.3">
      <c r="A322">
        <v>1000000320</v>
      </c>
      <c r="B322" s="1">
        <v>44223.215254629627</v>
      </c>
      <c r="C322" t="s">
        <v>667</v>
      </c>
      <c r="D322" t="s">
        <v>668</v>
      </c>
      <c r="E322">
        <v>7</v>
      </c>
      <c r="F322">
        <v>49.92</v>
      </c>
      <c r="G322" t="s">
        <v>15</v>
      </c>
      <c r="H322" t="s">
        <v>24</v>
      </c>
      <c r="I322" t="s">
        <v>17</v>
      </c>
      <c r="J322" t="b">
        <v>0</v>
      </c>
      <c r="K322" t="s">
        <v>80</v>
      </c>
      <c r="L322" t="s">
        <v>52</v>
      </c>
      <c r="M322" t="s">
        <v>43</v>
      </c>
      <c r="N322">
        <f>YEAR(Table1[[#This Row],[Date]])</f>
        <v>2021</v>
      </c>
      <c r="O322" t="str">
        <f>TEXT(Table1[[#This Row],[Date]],"mmm")</f>
        <v>Jan</v>
      </c>
      <c r="P322" t="str">
        <f>IF(Table1[[#This Row],[Total_Cost]]&lt;25,"low",IF(Table1[[#This Row],[Total_Cost]]&lt;60,"medium","high"))</f>
        <v>medium</v>
      </c>
      <c r="Q322" t="str">
        <f>IF(Table1[[#This Row],[Discount_Applied]]=TRUE,"discount applied","no discount")</f>
        <v>no discount</v>
      </c>
    </row>
    <row r="323" spans="1:17" x14ac:dyDescent="0.3">
      <c r="A323">
        <v>1000000321</v>
      </c>
      <c r="B323" s="1">
        <v>45300.48746527778</v>
      </c>
      <c r="C323" t="s">
        <v>669</v>
      </c>
      <c r="D323" t="s">
        <v>128</v>
      </c>
      <c r="E323">
        <v>9</v>
      </c>
      <c r="F323">
        <v>23.17</v>
      </c>
      <c r="G323" t="s">
        <v>23</v>
      </c>
      <c r="H323" t="s">
        <v>32</v>
      </c>
      <c r="I323" t="s">
        <v>59</v>
      </c>
      <c r="J323" t="b">
        <v>0</v>
      </c>
      <c r="K323" t="s">
        <v>51</v>
      </c>
      <c r="L323" t="s">
        <v>38</v>
      </c>
      <c r="M323" t="s">
        <v>43</v>
      </c>
      <c r="N323">
        <f>YEAR(Table1[[#This Row],[Date]])</f>
        <v>2024</v>
      </c>
      <c r="O323" t="str">
        <f>TEXT(Table1[[#This Row],[Date]],"mmm")</f>
        <v>Jan</v>
      </c>
      <c r="P323" t="str">
        <f>IF(Table1[[#This Row],[Total_Cost]]&lt;25,"low",IF(Table1[[#This Row],[Total_Cost]]&lt;60,"medium","high"))</f>
        <v>low</v>
      </c>
      <c r="Q323" t="str">
        <f>IF(Table1[[#This Row],[Discount_Applied]]=TRUE,"discount applied","no discount")</f>
        <v>no discount</v>
      </c>
    </row>
    <row r="324" spans="1:17" x14ac:dyDescent="0.3">
      <c r="A324">
        <v>1000000322</v>
      </c>
      <c r="B324" s="1">
        <v>44934.494201388887</v>
      </c>
      <c r="C324" t="s">
        <v>670</v>
      </c>
      <c r="D324" t="s">
        <v>671</v>
      </c>
      <c r="E324">
        <v>7</v>
      </c>
      <c r="F324">
        <v>57.85</v>
      </c>
      <c r="G324" t="s">
        <v>31</v>
      </c>
      <c r="H324" t="s">
        <v>24</v>
      </c>
      <c r="I324" t="s">
        <v>37</v>
      </c>
      <c r="J324" t="b">
        <v>1</v>
      </c>
      <c r="K324" t="s">
        <v>42</v>
      </c>
      <c r="L324" t="s">
        <v>19</v>
      </c>
      <c r="M324" t="s">
        <v>20</v>
      </c>
      <c r="N324">
        <f>YEAR(Table1[[#This Row],[Date]])</f>
        <v>2023</v>
      </c>
      <c r="O324" t="str">
        <f>TEXT(Table1[[#This Row],[Date]],"mmm")</f>
        <v>Jan</v>
      </c>
      <c r="P324" t="str">
        <f>IF(Table1[[#This Row],[Total_Cost]]&lt;25,"low",IF(Table1[[#This Row],[Total_Cost]]&lt;60,"medium","high"))</f>
        <v>medium</v>
      </c>
      <c r="Q324" t="str">
        <f>IF(Table1[[#This Row],[Discount_Applied]]=TRUE,"discount applied","no discount")</f>
        <v>discount applied</v>
      </c>
    </row>
    <row r="325" spans="1:17" x14ac:dyDescent="0.3">
      <c r="A325">
        <v>1000000323</v>
      </c>
      <c r="B325" s="1">
        <v>44303.841006944444</v>
      </c>
      <c r="C325" t="s">
        <v>672</v>
      </c>
      <c r="D325" t="s">
        <v>673</v>
      </c>
      <c r="E325">
        <v>7</v>
      </c>
      <c r="F325">
        <v>47.75</v>
      </c>
      <c r="G325" t="s">
        <v>41</v>
      </c>
      <c r="H325" t="s">
        <v>70</v>
      </c>
      <c r="I325" t="s">
        <v>59</v>
      </c>
      <c r="J325" t="b">
        <v>0</v>
      </c>
      <c r="K325" t="s">
        <v>47</v>
      </c>
      <c r="L325" t="s">
        <v>19</v>
      </c>
      <c r="M325" t="s">
        <v>43</v>
      </c>
      <c r="N325">
        <f>YEAR(Table1[[#This Row],[Date]])</f>
        <v>2021</v>
      </c>
      <c r="O325" t="str">
        <f>TEXT(Table1[[#This Row],[Date]],"mmm")</f>
        <v>Apr</v>
      </c>
      <c r="P325" t="str">
        <f>IF(Table1[[#This Row],[Total_Cost]]&lt;25,"low",IF(Table1[[#This Row],[Total_Cost]]&lt;60,"medium","high"))</f>
        <v>medium</v>
      </c>
      <c r="Q325" t="str">
        <f>IF(Table1[[#This Row],[Discount_Applied]]=TRUE,"discount applied","no discount")</f>
        <v>no discount</v>
      </c>
    </row>
    <row r="326" spans="1:17" x14ac:dyDescent="0.3">
      <c r="A326">
        <v>1000000324</v>
      </c>
      <c r="B326" s="1">
        <v>44517.02921296296</v>
      </c>
      <c r="C326" t="s">
        <v>674</v>
      </c>
      <c r="D326" t="s">
        <v>675</v>
      </c>
      <c r="E326">
        <v>3</v>
      </c>
      <c r="F326">
        <v>79.650000000000006</v>
      </c>
      <c r="G326" t="s">
        <v>23</v>
      </c>
      <c r="H326" t="s">
        <v>36</v>
      </c>
      <c r="I326" t="s">
        <v>17</v>
      </c>
      <c r="J326" t="b">
        <v>1</v>
      </c>
      <c r="K326" t="s">
        <v>80</v>
      </c>
      <c r="L326" t="s">
        <v>19</v>
      </c>
      <c r="M326" t="s">
        <v>20</v>
      </c>
      <c r="N326">
        <f>YEAR(Table1[[#This Row],[Date]])</f>
        <v>2021</v>
      </c>
      <c r="O326" t="str">
        <f>TEXT(Table1[[#This Row],[Date]],"mmm")</f>
        <v>Nov</v>
      </c>
      <c r="P326" t="str">
        <f>IF(Table1[[#This Row],[Total_Cost]]&lt;25,"low",IF(Table1[[#This Row],[Total_Cost]]&lt;60,"medium","high"))</f>
        <v>high</v>
      </c>
      <c r="Q326" t="str">
        <f>IF(Table1[[#This Row],[Discount_Applied]]=TRUE,"discount applied","no discount")</f>
        <v>discount applied</v>
      </c>
    </row>
    <row r="327" spans="1:17" x14ac:dyDescent="0.3">
      <c r="A327">
        <v>1000000325</v>
      </c>
      <c r="B327" s="1">
        <v>44511.100428240738</v>
      </c>
      <c r="C327" t="s">
        <v>676</v>
      </c>
      <c r="D327" t="s">
        <v>677</v>
      </c>
      <c r="E327">
        <v>3</v>
      </c>
      <c r="F327">
        <v>61.53</v>
      </c>
      <c r="G327" t="s">
        <v>41</v>
      </c>
      <c r="H327" t="s">
        <v>77</v>
      </c>
      <c r="I327" t="s">
        <v>17</v>
      </c>
      <c r="J327" t="b">
        <v>1</v>
      </c>
      <c r="K327" t="s">
        <v>87</v>
      </c>
      <c r="L327" t="s">
        <v>19</v>
      </c>
      <c r="M327" t="s">
        <v>28</v>
      </c>
      <c r="N327">
        <f>YEAR(Table1[[#This Row],[Date]])</f>
        <v>2021</v>
      </c>
      <c r="O327" t="str">
        <f>TEXT(Table1[[#This Row],[Date]],"mmm")</f>
        <v>Nov</v>
      </c>
      <c r="P327" t="str">
        <f>IF(Table1[[#This Row],[Total_Cost]]&lt;25,"low",IF(Table1[[#This Row],[Total_Cost]]&lt;60,"medium","high"))</f>
        <v>high</v>
      </c>
      <c r="Q327" t="str">
        <f>IF(Table1[[#This Row],[Discount_Applied]]=TRUE,"discount applied","no discount")</f>
        <v>discount applied</v>
      </c>
    </row>
    <row r="328" spans="1:17" x14ac:dyDescent="0.3">
      <c r="A328">
        <v>1000000326</v>
      </c>
      <c r="B328" s="1">
        <v>44013.034363425926</v>
      </c>
      <c r="C328" t="s">
        <v>678</v>
      </c>
      <c r="D328" t="s">
        <v>679</v>
      </c>
      <c r="E328">
        <v>10</v>
      </c>
      <c r="F328">
        <v>97.35</v>
      </c>
      <c r="G328" t="s">
        <v>15</v>
      </c>
      <c r="H328" t="s">
        <v>36</v>
      </c>
      <c r="I328" t="s">
        <v>37</v>
      </c>
      <c r="J328" t="b">
        <v>0</v>
      </c>
      <c r="K328" t="s">
        <v>62</v>
      </c>
      <c r="L328" t="s">
        <v>27</v>
      </c>
      <c r="M328" t="s">
        <v>28</v>
      </c>
      <c r="N328">
        <f>YEAR(Table1[[#This Row],[Date]])</f>
        <v>2020</v>
      </c>
      <c r="O328" t="str">
        <f>TEXT(Table1[[#This Row],[Date]],"mmm")</f>
        <v>Jul</v>
      </c>
      <c r="P328" t="str">
        <f>IF(Table1[[#This Row],[Total_Cost]]&lt;25,"low",IF(Table1[[#This Row],[Total_Cost]]&lt;60,"medium","high"))</f>
        <v>high</v>
      </c>
      <c r="Q328" t="str">
        <f>IF(Table1[[#This Row],[Discount_Applied]]=TRUE,"discount applied","no discount")</f>
        <v>no discount</v>
      </c>
    </row>
    <row r="329" spans="1:17" x14ac:dyDescent="0.3">
      <c r="A329">
        <v>1000000327</v>
      </c>
      <c r="B329" s="1">
        <v>44305.925856481481</v>
      </c>
      <c r="C329" t="s">
        <v>680</v>
      </c>
      <c r="D329" t="s">
        <v>681</v>
      </c>
      <c r="E329">
        <v>1</v>
      </c>
      <c r="F329">
        <v>86.32</v>
      </c>
      <c r="G329" t="s">
        <v>15</v>
      </c>
      <c r="H329" t="s">
        <v>129</v>
      </c>
      <c r="I329" t="s">
        <v>37</v>
      </c>
      <c r="J329" t="b">
        <v>1</v>
      </c>
      <c r="K329" t="s">
        <v>80</v>
      </c>
      <c r="L329" t="s">
        <v>27</v>
      </c>
      <c r="M329" t="s">
        <v>43</v>
      </c>
      <c r="N329">
        <f>YEAR(Table1[[#This Row],[Date]])</f>
        <v>2021</v>
      </c>
      <c r="O329" t="str">
        <f>TEXT(Table1[[#This Row],[Date]],"mmm")</f>
        <v>Apr</v>
      </c>
      <c r="P329" t="str">
        <f>IF(Table1[[#This Row],[Total_Cost]]&lt;25,"low",IF(Table1[[#This Row],[Total_Cost]]&lt;60,"medium","high"))</f>
        <v>high</v>
      </c>
      <c r="Q329" t="str">
        <f>IF(Table1[[#This Row],[Discount_Applied]]=TRUE,"discount applied","no discount")</f>
        <v>discount applied</v>
      </c>
    </row>
    <row r="330" spans="1:17" x14ac:dyDescent="0.3">
      <c r="A330">
        <v>1000000328</v>
      </c>
      <c r="B330" s="1">
        <v>44701.717418981483</v>
      </c>
      <c r="C330" t="s">
        <v>682</v>
      </c>
      <c r="D330" t="s">
        <v>683</v>
      </c>
      <c r="E330">
        <v>5</v>
      </c>
      <c r="F330">
        <v>64.680000000000007</v>
      </c>
      <c r="G330" t="s">
        <v>41</v>
      </c>
      <c r="H330" t="s">
        <v>36</v>
      </c>
      <c r="I330" t="s">
        <v>33</v>
      </c>
      <c r="J330" t="b">
        <v>1</v>
      </c>
      <c r="K330" t="s">
        <v>18</v>
      </c>
      <c r="L330" t="s">
        <v>19</v>
      </c>
      <c r="M330" t="s">
        <v>20</v>
      </c>
      <c r="N330">
        <f>YEAR(Table1[[#This Row],[Date]])</f>
        <v>2022</v>
      </c>
      <c r="O330" t="str">
        <f>TEXT(Table1[[#This Row],[Date]],"mmm")</f>
        <v>May</v>
      </c>
      <c r="P330" t="str">
        <f>IF(Table1[[#This Row],[Total_Cost]]&lt;25,"low",IF(Table1[[#This Row],[Total_Cost]]&lt;60,"medium","high"))</f>
        <v>high</v>
      </c>
      <c r="Q330" t="str">
        <f>IF(Table1[[#This Row],[Discount_Applied]]=TRUE,"discount applied","no discount")</f>
        <v>discount applied</v>
      </c>
    </row>
    <row r="331" spans="1:17" x14ac:dyDescent="0.3">
      <c r="A331">
        <v>1000000329</v>
      </c>
      <c r="B331" s="1">
        <v>44844.18414351852</v>
      </c>
      <c r="C331" t="s">
        <v>684</v>
      </c>
      <c r="D331" t="s">
        <v>685</v>
      </c>
      <c r="E331">
        <v>7</v>
      </c>
      <c r="F331">
        <v>93.03</v>
      </c>
      <c r="G331" t="s">
        <v>41</v>
      </c>
      <c r="H331" t="s">
        <v>129</v>
      </c>
      <c r="I331" t="s">
        <v>37</v>
      </c>
      <c r="J331" t="b">
        <v>0</v>
      </c>
      <c r="K331" t="s">
        <v>26</v>
      </c>
      <c r="L331" t="s">
        <v>52</v>
      </c>
      <c r="M331" t="s">
        <v>43</v>
      </c>
      <c r="N331">
        <f>YEAR(Table1[[#This Row],[Date]])</f>
        <v>2022</v>
      </c>
      <c r="O331" t="str">
        <f>TEXT(Table1[[#This Row],[Date]],"mmm")</f>
        <v>Oct</v>
      </c>
      <c r="P331" t="str">
        <f>IF(Table1[[#This Row],[Total_Cost]]&lt;25,"low",IF(Table1[[#This Row],[Total_Cost]]&lt;60,"medium","high"))</f>
        <v>high</v>
      </c>
      <c r="Q331" t="str">
        <f>IF(Table1[[#This Row],[Discount_Applied]]=TRUE,"discount applied","no discount")</f>
        <v>no discount</v>
      </c>
    </row>
    <row r="332" spans="1:17" x14ac:dyDescent="0.3">
      <c r="A332">
        <v>1000000330</v>
      </c>
      <c r="B332" s="1">
        <v>43866.582268518519</v>
      </c>
      <c r="C332" t="s">
        <v>686</v>
      </c>
      <c r="D332" t="s">
        <v>687</v>
      </c>
      <c r="E332">
        <v>4</v>
      </c>
      <c r="F332">
        <v>64.91</v>
      </c>
      <c r="G332" t="s">
        <v>23</v>
      </c>
      <c r="H332" t="s">
        <v>65</v>
      </c>
      <c r="I332" t="s">
        <v>59</v>
      </c>
      <c r="J332" t="b">
        <v>0</v>
      </c>
      <c r="K332" t="s">
        <v>62</v>
      </c>
      <c r="L332" t="s">
        <v>27</v>
      </c>
      <c r="M332" t="s">
        <v>43</v>
      </c>
      <c r="N332">
        <f>YEAR(Table1[[#This Row],[Date]])</f>
        <v>2020</v>
      </c>
      <c r="O332" t="str">
        <f>TEXT(Table1[[#This Row],[Date]],"mmm")</f>
        <v>Feb</v>
      </c>
      <c r="P332" t="str">
        <f>IF(Table1[[#This Row],[Total_Cost]]&lt;25,"low",IF(Table1[[#This Row],[Total_Cost]]&lt;60,"medium","high"))</f>
        <v>high</v>
      </c>
      <c r="Q332" t="str">
        <f>IF(Table1[[#This Row],[Discount_Applied]]=TRUE,"discount applied","no discount")</f>
        <v>no discount</v>
      </c>
    </row>
    <row r="333" spans="1:17" x14ac:dyDescent="0.3">
      <c r="A333">
        <v>1000000331</v>
      </c>
      <c r="B333" s="1">
        <v>44372.575567129628</v>
      </c>
      <c r="C333" t="s">
        <v>688</v>
      </c>
      <c r="D333" t="s">
        <v>689</v>
      </c>
      <c r="E333">
        <v>4</v>
      </c>
      <c r="F333">
        <v>70.94</v>
      </c>
      <c r="G333" t="s">
        <v>15</v>
      </c>
      <c r="H333" t="s">
        <v>65</v>
      </c>
      <c r="I333" t="s">
        <v>33</v>
      </c>
      <c r="J333" t="b">
        <v>1</v>
      </c>
      <c r="K333" t="s">
        <v>42</v>
      </c>
      <c r="L333" t="s">
        <v>27</v>
      </c>
      <c r="M333" t="s">
        <v>43</v>
      </c>
      <c r="N333">
        <f>YEAR(Table1[[#This Row],[Date]])</f>
        <v>2021</v>
      </c>
      <c r="O333" t="str">
        <f>TEXT(Table1[[#This Row],[Date]],"mmm")</f>
        <v>Jun</v>
      </c>
      <c r="P333" t="str">
        <f>IF(Table1[[#This Row],[Total_Cost]]&lt;25,"low",IF(Table1[[#This Row],[Total_Cost]]&lt;60,"medium","high"))</f>
        <v>high</v>
      </c>
      <c r="Q333" t="str">
        <f>IF(Table1[[#This Row],[Discount_Applied]]=TRUE,"discount applied","no discount")</f>
        <v>discount applied</v>
      </c>
    </row>
    <row r="334" spans="1:17" x14ac:dyDescent="0.3">
      <c r="A334">
        <v>1000000332</v>
      </c>
      <c r="B334" s="1">
        <v>45292.365405092591</v>
      </c>
      <c r="C334" t="s">
        <v>690</v>
      </c>
      <c r="D334" t="s">
        <v>139</v>
      </c>
      <c r="E334">
        <v>4</v>
      </c>
      <c r="F334">
        <v>70.400000000000006</v>
      </c>
      <c r="G334" t="s">
        <v>15</v>
      </c>
      <c r="H334" t="s">
        <v>96</v>
      </c>
      <c r="I334" t="s">
        <v>37</v>
      </c>
      <c r="J334" t="b">
        <v>0</v>
      </c>
      <c r="K334" t="s">
        <v>62</v>
      </c>
      <c r="L334" t="s">
        <v>52</v>
      </c>
      <c r="M334" t="s">
        <v>28</v>
      </c>
      <c r="N334">
        <f>YEAR(Table1[[#This Row],[Date]])</f>
        <v>2024</v>
      </c>
      <c r="O334" t="str">
        <f>TEXT(Table1[[#This Row],[Date]],"mmm")</f>
        <v>Jan</v>
      </c>
      <c r="P334" t="str">
        <f>IF(Table1[[#This Row],[Total_Cost]]&lt;25,"low",IF(Table1[[#This Row],[Total_Cost]]&lt;60,"medium","high"))</f>
        <v>high</v>
      </c>
      <c r="Q334" t="str">
        <f>IF(Table1[[#This Row],[Discount_Applied]]=TRUE,"discount applied","no discount")</f>
        <v>no discount</v>
      </c>
    </row>
    <row r="335" spans="1:17" x14ac:dyDescent="0.3">
      <c r="A335">
        <v>1000000333</v>
      </c>
      <c r="B335" s="1">
        <v>44257.447870370372</v>
      </c>
      <c r="C335" t="s">
        <v>691</v>
      </c>
      <c r="D335" t="s">
        <v>692</v>
      </c>
      <c r="E335">
        <v>6</v>
      </c>
      <c r="F335">
        <v>91.65</v>
      </c>
      <c r="G335" t="s">
        <v>41</v>
      </c>
      <c r="H335" t="s">
        <v>32</v>
      </c>
      <c r="I335" t="s">
        <v>25</v>
      </c>
      <c r="J335" t="b">
        <v>0</v>
      </c>
      <c r="K335" t="s">
        <v>87</v>
      </c>
      <c r="L335" t="s">
        <v>27</v>
      </c>
      <c r="M335" t="s">
        <v>43</v>
      </c>
      <c r="N335">
        <f>YEAR(Table1[[#This Row],[Date]])</f>
        <v>2021</v>
      </c>
      <c r="O335" t="str">
        <f>TEXT(Table1[[#This Row],[Date]],"mmm")</f>
        <v>Mar</v>
      </c>
      <c r="P335" t="str">
        <f>IF(Table1[[#This Row],[Total_Cost]]&lt;25,"low",IF(Table1[[#This Row],[Total_Cost]]&lt;60,"medium","high"))</f>
        <v>high</v>
      </c>
      <c r="Q335" t="str">
        <f>IF(Table1[[#This Row],[Discount_Applied]]=TRUE,"discount applied","no discount")</f>
        <v>no discount</v>
      </c>
    </row>
    <row r="336" spans="1:17" x14ac:dyDescent="0.3">
      <c r="A336">
        <v>1000000334</v>
      </c>
      <c r="B336" s="1">
        <v>44594.485856481479</v>
      </c>
      <c r="C336" t="s">
        <v>693</v>
      </c>
      <c r="D336" t="s">
        <v>694</v>
      </c>
      <c r="E336">
        <v>2</v>
      </c>
      <c r="F336">
        <v>19.73</v>
      </c>
      <c r="G336" t="s">
        <v>15</v>
      </c>
      <c r="H336" t="s">
        <v>70</v>
      </c>
      <c r="I336" t="s">
        <v>25</v>
      </c>
      <c r="J336" t="b">
        <v>0</v>
      </c>
      <c r="K336" t="s">
        <v>47</v>
      </c>
      <c r="L336" t="s">
        <v>52</v>
      </c>
      <c r="M336" t="s">
        <v>43</v>
      </c>
      <c r="N336">
        <f>YEAR(Table1[[#This Row],[Date]])</f>
        <v>2022</v>
      </c>
      <c r="O336" t="str">
        <f>TEXT(Table1[[#This Row],[Date]],"mmm")</f>
        <v>Feb</v>
      </c>
      <c r="P336" t="str">
        <f>IF(Table1[[#This Row],[Total_Cost]]&lt;25,"low",IF(Table1[[#This Row],[Total_Cost]]&lt;60,"medium","high"))</f>
        <v>low</v>
      </c>
      <c r="Q336" t="str">
        <f>IF(Table1[[#This Row],[Discount_Applied]]=TRUE,"discount applied","no discount")</f>
        <v>no discount</v>
      </c>
    </row>
    <row r="337" spans="1:17" x14ac:dyDescent="0.3">
      <c r="A337">
        <v>1000000335</v>
      </c>
      <c r="B337" s="1">
        <v>45398.467847222222</v>
      </c>
      <c r="C337" t="s">
        <v>695</v>
      </c>
      <c r="D337" t="s">
        <v>250</v>
      </c>
      <c r="E337">
        <v>2</v>
      </c>
      <c r="F337">
        <v>21.44</v>
      </c>
      <c r="G337" t="s">
        <v>41</v>
      </c>
      <c r="H337" t="s">
        <v>50</v>
      </c>
      <c r="I337" t="s">
        <v>37</v>
      </c>
      <c r="J337" t="b">
        <v>0</v>
      </c>
      <c r="K337" t="s">
        <v>62</v>
      </c>
      <c r="L337" t="s">
        <v>52</v>
      </c>
      <c r="M337" t="s">
        <v>28</v>
      </c>
      <c r="N337">
        <f>YEAR(Table1[[#This Row],[Date]])</f>
        <v>2024</v>
      </c>
      <c r="O337" t="str">
        <f>TEXT(Table1[[#This Row],[Date]],"mmm")</f>
        <v>Apr</v>
      </c>
      <c r="P337" t="str">
        <f>IF(Table1[[#This Row],[Total_Cost]]&lt;25,"low",IF(Table1[[#This Row],[Total_Cost]]&lt;60,"medium","high"))</f>
        <v>low</v>
      </c>
      <c r="Q337" t="str">
        <f>IF(Table1[[#This Row],[Discount_Applied]]=TRUE,"discount applied","no discount")</f>
        <v>no discount</v>
      </c>
    </row>
    <row r="338" spans="1:17" x14ac:dyDescent="0.3">
      <c r="A338">
        <v>1000000336</v>
      </c>
      <c r="B338" s="1">
        <v>44453.018206018518</v>
      </c>
      <c r="C338" t="s">
        <v>696</v>
      </c>
      <c r="D338" t="s">
        <v>697</v>
      </c>
      <c r="E338">
        <v>7</v>
      </c>
      <c r="F338">
        <v>50.77</v>
      </c>
      <c r="G338" t="s">
        <v>15</v>
      </c>
      <c r="H338" t="s">
        <v>70</v>
      </c>
      <c r="I338" t="s">
        <v>46</v>
      </c>
      <c r="J338" t="b">
        <v>0</v>
      </c>
      <c r="K338" t="s">
        <v>51</v>
      </c>
      <c r="L338" t="s">
        <v>19</v>
      </c>
      <c r="M338" t="s">
        <v>28</v>
      </c>
      <c r="N338">
        <f>YEAR(Table1[[#This Row],[Date]])</f>
        <v>2021</v>
      </c>
      <c r="O338" t="str">
        <f>TEXT(Table1[[#This Row],[Date]],"mmm")</f>
        <v>Sep</v>
      </c>
      <c r="P338" t="str">
        <f>IF(Table1[[#This Row],[Total_Cost]]&lt;25,"low",IF(Table1[[#This Row],[Total_Cost]]&lt;60,"medium","high"))</f>
        <v>medium</v>
      </c>
      <c r="Q338" t="str">
        <f>IF(Table1[[#This Row],[Discount_Applied]]=TRUE,"discount applied","no discount")</f>
        <v>no discount</v>
      </c>
    </row>
    <row r="339" spans="1:17" x14ac:dyDescent="0.3">
      <c r="A339">
        <v>1000000337</v>
      </c>
      <c r="B339" s="1">
        <v>45004.402766203704</v>
      </c>
      <c r="C339" t="s">
        <v>698</v>
      </c>
      <c r="D339" t="s">
        <v>699</v>
      </c>
      <c r="E339">
        <v>4</v>
      </c>
      <c r="F339">
        <v>42.82</v>
      </c>
      <c r="G339" t="s">
        <v>41</v>
      </c>
      <c r="H339" t="s">
        <v>32</v>
      </c>
      <c r="I339" t="s">
        <v>46</v>
      </c>
      <c r="J339" t="b">
        <v>1</v>
      </c>
      <c r="K339" t="s">
        <v>47</v>
      </c>
      <c r="L339" t="s">
        <v>19</v>
      </c>
      <c r="M339" t="s">
        <v>28</v>
      </c>
      <c r="N339">
        <f>YEAR(Table1[[#This Row],[Date]])</f>
        <v>2023</v>
      </c>
      <c r="O339" t="str">
        <f>TEXT(Table1[[#This Row],[Date]],"mmm")</f>
        <v>Mar</v>
      </c>
      <c r="P339" t="str">
        <f>IF(Table1[[#This Row],[Total_Cost]]&lt;25,"low",IF(Table1[[#This Row],[Total_Cost]]&lt;60,"medium","high"))</f>
        <v>medium</v>
      </c>
      <c r="Q339" t="str">
        <f>IF(Table1[[#This Row],[Discount_Applied]]=TRUE,"discount applied","no discount")</f>
        <v>discount applied</v>
      </c>
    </row>
    <row r="340" spans="1:17" x14ac:dyDescent="0.3">
      <c r="A340">
        <v>1000000338</v>
      </c>
      <c r="B340" s="1">
        <v>44616.947465277779</v>
      </c>
      <c r="C340" t="s">
        <v>700</v>
      </c>
      <c r="D340" t="s">
        <v>701</v>
      </c>
      <c r="E340">
        <v>9</v>
      </c>
      <c r="F340">
        <v>28.77</v>
      </c>
      <c r="G340" t="s">
        <v>41</v>
      </c>
      <c r="H340" t="s">
        <v>36</v>
      </c>
      <c r="I340" t="s">
        <v>17</v>
      </c>
      <c r="J340" t="b">
        <v>1</v>
      </c>
      <c r="K340" t="s">
        <v>18</v>
      </c>
      <c r="L340" t="s">
        <v>38</v>
      </c>
      <c r="M340" t="s">
        <v>20</v>
      </c>
      <c r="N340">
        <f>YEAR(Table1[[#This Row],[Date]])</f>
        <v>2022</v>
      </c>
      <c r="O340" t="str">
        <f>TEXT(Table1[[#This Row],[Date]],"mmm")</f>
        <v>Feb</v>
      </c>
      <c r="P340" t="str">
        <f>IF(Table1[[#This Row],[Total_Cost]]&lt;25,"low",IF(Table1[[#This Row],[Total_Cost]]&lt;60,"medium","high"))</f>
        <v>medium</v>
      </c>
      <c r="Q340" t="str">
        <f>IF(Table1[[#This Row],[Discount_Applied]]=TRUE,"discount applied","no discount")</f>
        <v>discount applied</v>
      </c>
    </row>
    <row r="341" spans="1:17" x14ac:dyDescent="0.3">
      <c r="A341">
        <v>1000000339</v>
      </c>
      <c r="B341" s="1">
        <v>44105.433865740742</v>
      </c>
      <c r="C341" t="s">
        <v>702</v>
      </c>
      <c r="D341" t="s">
        <v>703</v>
      </c>
      <c r="E341">
        <v>2</v>
      </c>
      <c r="F341">
        <v>17.73</v>
      </c>
      <c r="G341" t="s">
        <v>31</v>
      </c>
      <c r="H341" t="s">
        <v>36</v>
      </c>
      <c r="I341" t="s">
        <v>59</v>
      </c>
      <c r="J341" t="b">
        <v>0</v>
      </c>
      <c r="K341" t="s">
        <v>26</v>
      </c>
      <c r="L341" t="s">
        <v>27</v>
      </c>
      <c r="M341" t="s">
        <v>28</v>
      </c>
      <c r="N341">
        <f>YEAR(Table1[[#This Row],[Date]])</f>
        <v>2020</v>
      </c>
      <c r="O341" t="str">
        <f>TEXT(Table1[[#This Row],[Date]],"mmm")</f>
        <v>Oct</v>
      </c>
      <c r="P341" t="str">
        <f>IF(Table1[[#This Row],[Total_Cost]]&lt;25,"low",IF(Table1[[#This Row],[Total_Cost]]&lt;60,"medium","high"))</f>
        <v>low</v>
      </c>
      <c r="Q341" t="str">
        <f>IF(Table1[[#This Row],[Discount_Applied]]=TRUE,"discount applied","no discount")</f>
        <v>no discount</v>
      </c>
    </row>
    <row r="342" spans="1:17" x14ac:dyDescent="0.3">
      <c r="A342">
        <v>1000000340</v>
      </c>
      <c r="B342" s="1">
        <v>44597.803761574076</v>
      </c>
      <c r="C342" t="s">
        <v>704</v>
      </c>
      <c r="D342" t="s">
        <v>705</v>
      </c>
      <c r="E342">
        <v>1</v>
      </c>
      <c r="F342">
        <v>28.8</v>
      </c>
      <c r="G342" t="s">
        <v>15</v>
      </c>
      <c r="H342" t="s">
        <v>96</v>
      </c>
      <c r="I342" t="s">
        <v>46</v>
      </c>
      <c r="J342" t="b">
        <v>1</v>
      </c>
      <c r="K342" t="s">
        <v>51</v>
      </c>
      <c r="L342" t="s">
        <v>19</v>
      </c>
      <c r="M342" t="s">
        <v>20</v>
      </c>
      <c r="N342">
        <f>YEAR(Table1[[#This Row],[Date]])</f>
        <v>2022</v>
      </c>
      <c r="O342" t="str">
        <f>TEXT(Table1[[#This Row],[Date]],"mmm")</f>
        <v>Feb</v>
      </c>
      <c r="P342" t="str">
        <f>IF(Table1[[#This Row],[Total_Cost]]&lt;25,"low",IF(Table1[[#This Row],[Total_Cost]]&lt;60,"medium","high"))</f>
        <v>medium</v>
      </c>
      <c r="Q342" t="str">
        <f>IF(Table1[[#This Row],[Discount_Applied]]=TRUE,"discount applied","no discount")</f>
        <v>discount applied</v>
      </c>
    </row>
    <row r="343" spans="1:17" x14ac:dyDescent="0.3">
      <c r="A343">
        <v>1000000341</v>
      </c>
      <c r="B343" s="1">
        <v>45358.856770833336</v>
      </c>
      <c r="C343" t="s">
        <v>706</v>
      </c>
      <c r="D343" t="s">
        <v>707</v>
      </c>
      <c r="E343">
        <v>2</v>
      </c>
      <c r="F343">
        <v>87.03</v>
      </c>
      <c r="G343" t="s">
        <v>31</v>
      </c>
      <c r="H343" t="s">
        <v>77</v>
      </c>
      <c r="I343" t="s">
        <v>33</v>
      </c>
      <c r="J343" t="b">
        <v>1</v>
      </c>
      <c r="K343" t="s">
        <v>51</v>
      </c>
      <c r="L343" t="s">
        <v>52</v>
      </c>
      <c r="M343" t="s">
        <v>43</v>
      </c>
      <c r="N343">
        <f>YEAR(Table1[[#This Row],[Date]])</f>
        <v>2024</v>
      </c>
      <c r="O343" t="str">
        <f>TEXT(Table1[[#This Row],[Date]],"mmm")</f>
        <v>Mar</v>
      </c>
      <c r="P343" t="str">
        <f>IF(Table1[[#This Row],[Total_Cost]]&lt;25,"low",IF(Table1[[#This Row],[Total_Cost]]&lt;60,"medium","high"))</f>
        <v>high</v>
      </c>
      <c r="Q343" t="str">
        <f>IF(Table1[[#This Row],[Discount_Applied]]=TRUE,"discount applied","no discount")</f>
        <v>discount applied</v>
      </c>
    </row>
    <row r="344" spans="1:17" x14ac:dyDescent="0.3">
      <c r="A344">
        <v>1000000342</v>
      </c>
      <c r="B344" s="1">
        <v>43951.36619212963</v>
      </c>
      <c r="C344" t="s">
        <v>708</v>
      </c>
      <c r="D344" t="s">
        <v>40</v>
      </c>
      <c r="E344">
        <v>7</v>
      </c>
      <c r="F344">
        <v>70.540000000000006</v>
      </c>
      <c r="G344" t="s">
        <v>15</v>
      </c>
      <c r="H344" t="s">
        <v>32</v>
      </c>
      <c r="I344" t="s">
        <v>59</v>
      </c>
      <c r="J344" t="b">
        <v>0</v>
      </c>
      <c r="K344" t="s">
        <v>87</v>
      </c>
      <c r="L344" t="s">
        <v>38</v>
      </c>
      <c r="M344" t="s">
        <v>20</v>
      </c>
      <c r="N344">
        <f>YEAR(Table1[[#This Row],[Date]])</f>
        <v>2020</v>
      </c>
      <c r="O344" t="str">
        <f>TEXT(Table1[[#This Row],[Date]],"mmm")</f>
        <v>Apr</v>
      </c>
      <c r="P344" t="str">
        <f>IF(Table1[[#This Row],[Total_Cost]]&lt;25,"low",IF(Table1[[#This Row],[Total_Cost]]&lt;60,"medium","high"))</f>
        <v>high</v>
      </c>
      <c r="Q344" t="str">
        <f>IF(Table1[[#This Row],[Discount_Applied]]=TRUE,"discount applied","no discount")</f>
        <v>no discount</v>
      </c>
    </row>
    <row r="345" spans="1:17" x14ac:dyDescent="0.3">
      <c r="A345">
        <v>1000000343</v>
      </c>
      <c r="B345" s="1">
        <v>44179.706458333334</v>
      </c>
      <c r="C345" t="s">
        <v>709</v>
      </c>
      <c r="D345" t="s">
        <v>710</v>
      </c>
      <c r="E345">
        <v>9</v>
      </c>
      <c r="F345">
        <v>96.33</v>
      </c>
      <c r="G345" t="s">
        <v>23</v>
      </c>
      <c r="H345" t="s">
        <v>24</v>
      </c>
      <c r="I345" t="s">
        <v>33</v>
      </c>
      <c r="J345" t="b">
        <v>0</v>
      </c>
      <c r="K345" t="s">
        <v>80</v>
      </c>
      <c r="L345" t="s">
        <v>52</v>
      </c>
      <c r="M345" t="s">
        <v>28</v>
      </c>
      <c r="N345">
        <f>YEAR(Table1[[#This Row],[Date]])</f>
        <v>2020</v>
      </c>
      <c r="O345" t="str">
        <f>TEXT(Table1[[#This Row],[Date]],"mmm")</f>
        <v>Dec</v>
      </c>
      <c r="P345" t="str">
        <f>IF(Table1[[#This Row],[Total_Cost]]&lt;25,"low",IF(Table1[[#This Row],[Total_Cost]]&lt;60,"medium","high"))</f>
        <v>high</v>
      </c>
      <c r="Q345" t="str">
        <f>IF(Table1[[#This Row],[Discount_Applied]]=TRUE,"discount applied","no discount")</f>
        <v>no discount</v>
      </c>
    </row>
    <row r="346" spans="1:17" x14ac:dyDescent="0.3">
      <c r="A346">
        <v>1000000344</v>
      </c>
      <c r="B346" s="1">
        <v>44105.513842592591</v>
      </c>
      <c r="C346" t="s">
        <v>711</v>
      </c>
      <c r="D346" t="s">
        <v>712</v>
      </c>
      <c r="E346">
        <v>2</v>
      </c>
      <c r="F346">
        <v>44.84</v>
      </c>
      <c r="G346" t="s">
        <v>31</v>
      </c>
      <c r="H346" t="s">
        <v>24</v>
      </c>
      <c r="I346" t="s">
        <v>37</v>
      </c>
      <c r="J346" t="b">
        <v>1</v>
      </c>
      <c r="K346" t="s">
        <v>80</v>
      </c>
      <c r="L346" t="s">
        <v>27</v>
      </c>
      <c r="M346" t="s">
        <v>20</v>
      </c>
      <c r="N346">
        <f>YEAR(Table1[[#This Row],[Date]])</f>
        <v>2020</v>
      </c>
      <c r="O346" t="str">
        <f>TEXT(Table1[[#This Row],[Date]],"mmm")</f>
        <v>Oct</v>
      </c>
      <c r="P346" t="str">
        <f>IF(Table1[[#This Row],[Total_Cost]]&lt;25,"low",IF(Table1[[#This Row],[Total_Cost]]&lt;60,"medium","high"))</f>
        <v>medium</v>
      </c>
      <c r="Q346" t="str">
        <f>IF(Table1[[#This Row],[Discount_Applied]]=TRUE,"discount applied","no discount")</f>
        <v>discount applied</v>
      </c>
    </row>
    <row r="347" spans="1:17" x14ac:dyDescent="0.3">
      <c r="A347">
        <v>1000000345</v>
      </c>
      <c r="B347" s="1">
        <v>44408.021111111113</v>
      </c>
      <c r="C347" t="s">
        <v>713</v>
      </c>
      <c r="D347" t="s">
        <v>714</v>
      </c>
      <c r="E347">
        <v>6</v>
      </c>
      <c r="F347">
        <v>64.31</v>
      </c>
      <c r="G347" t="s">
        <v>15</v>
      </c>
      <c r="H347" t="s">
        <v>32</v>
      </c>
      <c r="I347" t="s">
        <v>33</v>
      </c>
      <c r="J347" t="b">
        <v>0</v>
      </c>
      <c r="K347" t="s">
        <v>18</v>
      </c>
      <c r="L347" t="s">
        <v>19</v>
      </c>
      <c r="M347" t="s">
        <v>20</v>
      </c>
      <c r="N347">
        <f>YEAR(Table1[[#This Row],[Date]])</f>
        <v>2021</v>
      </c>
      <c r="O347" t="str">
        <f>TEXT(Table1[[#This Row],[Date]],"mmm")</f>
        <v>Jul</v>
      </c>
      <c r="P347" t="str">
        <f>IF(Table1[[#This Row],[Total_Cost]]&lt;25,"low",IF(Table1[[#This Row],[Total_Cost]]&lt;60,"medium","high"))</f>
        <v>high</v>
      </c>
      <c r="Q347" t="str">
        <f>IF(Table1[[#This Row],[Discount_Applied]]=TRUE,"discount applied","no discount")</f>
        <v>no discount</v>
      </c>
    </row>
    <row r="348" spans="1:17" x14ac:dyDescent="0.3">
      <c r="A348">
        <v>1000000346</v>
      </c>
      <c r="B348" s="1">
        <v>43913.364606481482</v>
      </c>
      <c r="C348" t="s">
        <v>715</v>
      </c>
      <c r="D348" t="s">
        <v>412</v>
      </c>
      <c r="E348">
        <v>2</v>
      </c>
      <c r="F348">
        <v>84.74</v>
      </c>
      <c r="G348" t="s">
        <v>41</v>
      </c>
      <c r="H348" t="s">
        <v>77</v>
      </c>
      <c r="I348" t="s">
        <v>59</v>
      </c>
      <c r="J348" t="b">
        <v>1</v>
      </c>
      <c r="K348" t="s">
        <v>87</v>
      </c>
      <c r="L348" t="s">
        <v>27</v>
      </c>
      <c r="M348" t="s">
        <v>43</v>
      </c>
      <c r="N348">
        <f>YEAR(Table1[[#This Row],[Date]])</f>
        <v>2020</v>
      </c>
      <c r="O348" t="str">
        <f>TEXT(Table1[[#This Row],[Date]],"mmm")</f>
        <v>Mar</v>
      </c>
      <c r="P348" t="str">
        <f>IF(Table1[[#This Row],[Total_Cost]]&lt;25,"low",IF(Table1[[#This Row],[Total_Cost]]&lt;60,"medium","high"))</f>
        <v>high</v>
      </c>
      <c r="Q348" t="str">
        <f>IF(Table1[[#This Row],[Discount_Applied]]=TRUE,"discount applied","no discount")</f>
        <v>discount applied</v>
      </c>
    </row>
    <row r="349" spans="1:17" x14ac:dyDescent="0.3">
      <c r="A349">
        <v>1000000347</v>
      </c>
      <c r="B349" s="1">
        <v>43993.923229166663</v>
      </c>
      <c r="C349" t="s">
        <v>716</v>
      </c>
      <c r="D349" t="s">
        <v>280</v>
      </c>
      <c r="E349">
        <v>3</v>
      </c>
      <c r="F349">
        <v>49.65</v>
      </c>
      <c r="G349" t="s">
        <v>15</v>
      </c>
      <c r="H349" t="s">
        <v>129</v>
      </c>
      <c r="I349" t="s">
        <v>33</v>
      </c>
      <c r="J349" t="b">
        <v>0</v>
      </c>
      <c r="K349" t="s">
        <v>51</v>
      </c>
      <c r="L349" t="s">
        <v>19</v>
      </c>
      <c r="M349" t="s">
        <v>28</v>
      </c>
      <c r="N349">
        <f>YEAR(Table1[[#This Row],[Date]])</f>
        <v>2020</v>
      </c>
      <c r="O349" t="str">
        <f>TEXT(Table1[[#This Row],[Date]],"mmm")</f>
        <v>Jun</v>
      </c>
      <c r="P349" t="str">
        <f>IF(Table1[[#This Row],[Total_Cost]]&lt;25,"low",IF(Table1[[#This Row],[Total_Cost]]&lt;60,"medium","high"))</f>
        <v>medium</v>
      </c>
      <c r="Q349" t="str">
        <f>IF(Table1[[#This Row],[Discount_Applied]]=TRUE,"discount applied","no discount")</f>
        <v>no discount</v>
      </c>
    </row>
    <row r="350" spans="1:17" x14ac:dyDescent="0.3">
      <c r="A350">
        <v>1000000348</v>
      </c>
      <c r="B350" s="1">
        <v>44147.414050925923</v>
      </c>
      <c r="C350" t="s">
        <v>717</v>
      </c>
      <c r="D350" t="s">
        <v>718</v>
      </c>
      <c r="E350">
        <v>5</v>
      </c>
      <c r="F350">
        <v>77.91</v>
      </c>
      <c r="G350" t="s">
        <v>41</v>
      </c>
      <c r="H350" t="s">
        <v>77</v>
      </c>
      <c r="I350" t="s">
        <v>33</v>
      </c>
      <c r="J350" t="b">
        <v>0</v>
      </c>
      <c r="K350" t="s">
        <v>26</v>
      </c>
      <c r="L350" t="s">
        <v>38</v>
      </c>
      <c r="M350" t="s">
        <v>43</v>
      </c>
      <c r="N350">
        <f>YEAR(Table1[[#This Row],[Date]])</f>
        <v>2020</v>
      </c>
      <c r="O350" t="str">
        <f>TEXT(Table1[[#This Row],[Date]],"mmm")</f>
        <v>Nov</v>
      </c>
      <c r="P350" t="str">
        <f>IF(Table1[[#This Row],[Total_Cost]]&lt;25,"low",IF(Table1[[#This Row],[Total_Cost]]&lt;60,"medium","high"))</f>
        <v>high</v>
      </c>
      <c r="Q350" t="str">
        <f>IF(Table1[[#This Row],[Discount_Applied]]=TRUE,"discount applied","no discount")</f>
        <v>no discount</v>
      </c>
    </row>
    <row r="351" spans="1:17" x14ac:dyDescent="0.3">
      <c r="A351">
        <v>1000000349</v>
      </c>
      <c r="B351" s="1">
        <v>44699.862766203703</v>
      </c>
      <c r="C351" t="s">
        <v>719</v>
      </c>
      <c r="D351" t="s">
        <v>720</v>
      </c>
      <c r="E351">
        <v>5</v>
      </c>
      <c r="F351">
        <v>43.82</v>
      </c>
      <c r="G351" t="s">
        <v>23</v>
      </c>
      <c r="H351" t="s">
        <v>50</v>
      </c>
      <c r="I351" t="s">
        <v>25</v>
      </c>
      <c r="J351" t="b">
        <v>1</v>
      </c>
      <c r="K351" t="s">
        <v>18</v>
      </c>
      <c r="L351" t="s">
        <v>52</v>
      </c>
      <c r="M351" t="s">
        <v>28</v>
      </c>
      <c r="N351">
        <f>YEAR(Table1[[#This Row],[Date]])</f>
        <v>2022</v>
      </c>
      <c r="O351" t="str">
        <f>TEXT(Table1[[#This Row],[Date]],"mmm")</f>
        <v>May</v>
      </c>
      <c r="P351" t="str">
        <f>IF(Table1[[#This Row],[Total_Cost]]&lt;25,"low",IF(Table1[[#This Row],[Total_Cost]]&lt;60,"medium","high"))</f>
        <v>medium</v>
      </c>
      <c r="Q351" t="str">
        <f>IF(Table1[[#This Row],[Discount_Applied]]=TRUE,"discount applied","no discount")</f>
        <v>discount applied</v>
      </c>
    </row>
    <row r="352" spans="1:17" x14ac:dyDescent="0.3">
      <c r="A352">
        <v>1000000350</v>
      </c>
      <c r="B352" s="1">
        <v>45356.586041666669</v>
      </c>
      <c r="C352" t="s">
        <v>721</v>
      </c>
      <c r="D352" t="s">
        <v>722</v>
      </c>
      <c r="E352">
        <v>7</v>
      </c>
      <c r="F352">
        <v>85.19</v>
      </c>
      <c r="G352" t="s">
        <v>31</v>
      </c>
      <c r="H352" t="s">
        <v>77</v>
      </c>
      <c r="I352" t="s">
        <v>33</v>
      </c>
      <c r="J352" t="b">
        <v>1</v>
      </c>
      <c r="K352" t="s">
        <v>51</v>
      </c>
      <c r="L352" t="s">
        <v>52</v>
      </c>
      <c r="M352" t="s">
        <v>20</v>
      </c>
      <c r="N352">
        <f>YEAR(Table1[[#This Row],[Date]])</f>
        <v>2024</v>
      </c>
      <c r="O352" t="str">
        <f>TEXT(Table1[[#This Row],[Date]],"mmm")</f>
        <v>Mar</v>
      </c>
      <c r="P352" t="str">
        <f>IF(Table1[[#This Row],[Total_Cost]]&lt;25,"low",IF(Table1[[#This Row],[Total_Cost]]&lt;60,"medium","high"))</f>
        <v>high</v>
      </c>
      <c r="Q352" t="str">
        <f>IF(Table1[[#This Row],[Discount_Applied]]=TRUE,"discount applied","no discount")</f>
        <v>discount applied</v>
      </c>
    </row>
    <row r="353" spans="1:17" x14ac:dyDescent="0.3">
      <c r="A353">
        <v>1000000351</v>
      </c>
      <c r="B353" s="1">
        <v>44543.703692129631</v>
      </c>
      <c r="C353" t="s">
        <v>723</v>
      </c>
      <c r="D353" t="s">
        <v>724</v>
      </c>
      <c r="E353">
        <v>1</v>
      </c>
      <c r="F353">
        <v>37.880000000000003</v>
      </c>
      <c r="G353" t="s">
        <v>15</v>
      </c>
      <c r="H353" t="s">
        <v>50</v>
      </c>
      <c r="I353" t="s">
        <v>37</v>
      </c>
      <c r="J353" t="b">
        <v>1</v>
      </c>
      <c r="K353" t="s">
        <v>87</v>
      </c>
      <c r="L353" t="s">
        <v>27</v>
      </c>
      <c r="M353" t="s">
        <v>20</v>
      </c>
      <c r="N353">
        <f>YEAR(Table1[[#This Row],[Date]])</f>
        <v>2021</v>
      </c>
      <c r="O353" t="str">
        <f>TEXT(Table1[[#This Row],[Date]],"mmm")</f>
        <v>Dec</v>
      </c>
      <c r="P353" t="str">
        <f>IF(Table1[[#This Row],[Total_Cost]]&lt;25,"low",IF(Table1[[#This Row],[Total_Cost]]&lt;60,"medium","high"))</f>
        <v>medium</v>
      </c>
      <c r="Q353" t="str">
        <f>IF(Table1[[#This Row],[Discount_Applied]]=TRUE,"discount applied","no discount")</f>
        <v>discount applied</v>
      </c>
    </row>
    <row r="354" spans="1:17" x14ac:dyDescent="0.3">
      <c r="A354">
        <v>1000000352</v>
      </c>
      <c r="B354" s="1">
        <v>44468.435590277775</v>
      </c>
      <c r="C354" t="s">
        <v>725</v>
      </c>
      <c r="D354" t="s">
        <v>726</v>
      </c>
      <c r="E354">
        <v>5</v>
      </c>
      <c r="F354">
        <v>92.53</v>
      </c>
      <c r="G354" t="s">
        <v>41</v>
      </c>
      <c r="H354" t="s">
        <v>77</v>
      </c>
      <c r="I354" t="s">
        <v>59</v>
      </c>
      <c r="J354" t="b">
        <v>1</v>
      </c>
      <c r="K354" t="s">
        <v>42</v>
      </c>
      <c r="L354" t="s">
        <v>19</v>
      </c>
      <c r="M354" t="s">
        <v>20</v>
      </c>
      <c r="N354">
        <f>YEAR(Table1[[#This Row],[Date]])</f>
        <v>2021</v>
      </c>
      <c r="O354" t="str">
        <f>TEXT(Table1[[#This Row],[Date]],"mmm")</f>
        <v>Sep</v>
      </c>
      <c r="P354" t="str">
        <f>IF(Table1[[#This Row],[Total_Cost]]&lt;25,"low",IF(Table1[[#This Row],[Total_Cost]]&lt;60,"medium","high"))</f>
        <v>high</v>
      </c>
      <c r="Q354" t="str">
        <f>IF(Table1[[#This Row],[Discount_Applied]]=TRUE,"discount applied","no discount")</f>
        <v>discount applied</v>
      </c>
    </row>
    <row r="355" spans="1:17" x14ac:dyDescent="0.3">
      <c r="A355">
        <v>1000000353</v>
      </c>
      <c r="B355" s="1">
        <v>45369.192847222221</v>
      </c>
      <c r="C355" t="s">
        <v>727</v>
      </c>
      <c r="D355" t="s">
        <v>728</v>
      </c>
      <c r="E355">
        <v>4</v>
      </c>
      <c r="F355">
        <v>34.83</v>
      </c>
      <c r="G355" t="s">
        <v>23</v>
      </c>
      <c r="H355" t="s">
        <v>50</v>
      </c>
      <c r="I355" t="s">
        <v>25</v>
      </c>
      <c r="J355" t="b">
        <v>1</v>
      </c>
      <c r="K355" t="s">
        <v>51</v>
      </c>
      <c r="L355" t="s">
        <v>52</v>
      </c>
      <c r="M355" t="s">
        <v>20</v>
      </c>
      <c r="N355">
        <f>YEAR(Table1[[#This Row],[Date]])</f>
        <v>2024</v>
      </c>
      <c r="O355" t="str">
        <f>TEXT(Table1[[#This Row],[Date]],"mmm")</f>
        <v>Mar</v>
      </c>
      <c r="P355" t="str">
        <f>IF(Table1[[#This Row],[Total_Cost]]&lt;25,"low",IF(Table1[[#This Row],[Total_Cost]]&lt;60,"medium","high"))</f>
        <v>medium</v>
      </c>
      <c r="Q355" t="str">
        <f>IF(Table1[[#This Row],[Discount_Applied]]=TRUE,"discount applied","no discount")</f>
        <v>discount applied</v>
      </c>
    </row>
    <row r="356" spans="1:17" x14ac:dyDescent="0.3">
      <c r="A356">
        <v>1000000354</v>
      </c>
      <c r="B356" s="1">
        <v>44639.789479166669</v>
      </c>
      <c r="C356" t="s">
        <v>729</v>
      </c>
      <c r="D356" t="s">
        <v>338</v>
      </c>
      <c r="E356">
        <v>4</v>
      </c>
      <c r="F356">
        <v>44.79</v>
      </c>
      <c r="G356" t="s">
        <v>31</v>
      </c>
      <c r="H356" t="s">
        <v>50</v>
      </c>
      <c r="I356" t="s">
        <v>33</v>
      </c>
      <c r="J356" t="b">
        <v>0</v>
      </c>
      <c r="K356" t="s">
        <v>62</v>
      </c>
      <c r="L356" t="s">
        <v>27</v>
      </c>
      <c r="M356" t="s">
        <v>28</v>
      </c>
      <c r="N356">
        <f>YEAR(Table1[[#This Row],[Date]])</f>
        <v>2022</v>
      </c>
      <c r="O356" t="str">
        <f>TEXT(Table1[[#This Row],[Date]],"mmm")</f>
        <v>Mar</v>
      </c>
      <c r="P356" t="str">
        <f>IF(Table1[[#This Row],[Total_Cost]]&lt;25,"low",IF(Table1[[#This Row],[Total_Cost]]&lt;60,"medium","high"))</f>
        <v>medium</v>
      </c>
      <c r="Q356" t="str">
        <f>IF(Table1[[#This Row],[Discount_Applied]]=TRUE,"discount applied","no discount")</f>
        <v>no discount</v>
      </c>
    </row>
    <row r="357" spans="1:17" x14ac:dyDescent="0.3">
      <c r="A357">
        <v>1000000355</v>
      </c>
      <c r="B357" s="1">
        <v>44172.338310185187</v>
      </c>
      <c r="C357" t="s">
        <v>477</v>
      </c>
      <c r="D357" t="s">
        <v>730</v>
      </c>
      <c r="E357">
        <v>9</v>
      </c>
      <c r="F357">
        <v>87.09</v>
      </c>
      <c r="G357" t="s">
        <v>23</v>
      </c>
      <c r="H357" t="s">
        <v>24</v>
      </c>
      <c r="I357" t="s">
        <v>33</v>
      </c>
      <c r="J357" t="b">
        <v>1</v>
      </c>
      <c r="K357" t="s">
        <v>18</v>
      </c>
      <c r="L357" t="s">
        <v>52</v>
      </c>
      <c r="M357" t="s">
        <v>43</v>
      </c>
      <c r="N357">
        <f>YEAR(Table1[[#This Row],[Date]])</f>
        <v>2020</v>
      </c>
      <c r="O357" t="str">
        <f>TEXT(Table1[[#This Row],[Date]],"mmm")</f>
        <v>Dec</v>
      </c>
      <c r="P357" t="str">
        <f>IF(Table1[[#This Row],[Total_Cost]]&lt;25,"low",IF(Table1[[#This Row],[Total_Cost]]&lt;60,"medium","high"))</f>
        <v>high</v>
      </c>
      <c r="Q357" t="str">
        <f>IF(Table1[[#This Row],[Discount_Applied]]=TRUE,"discount applied","no discount")</f>
        <v>discount applied</v>
      </c>
    </row>
    <row r="358" spans="1:17" x14ac:dyDescent="0.3">
      <c r="A358">
        <v>1000000356</v>
      </c>
      <c r="B358" s="1">
        <v>44471.027349537035</v>
      </c>
      <c r="C358" t="s">
        <v>731</v>
      </c>
      <c r="D358" t="s">
        <v>732</v>
      </c>
      <c r="E358">
        <v>5</v>
      </c>
      <c r="F358">
        <v>27.92</v>
      </c>
      <c r="G358" t="s">
        <v>15</v>
      </c>
      <c r="H358" t="s">
        <v>96</v>
      </c>
      <c r="I358" t="s">
        <v>25</v>
      </c>
      <c r="J358" t="b">
        <v>0</v>
      </c>
      <c r="K358" t="s">
        <v>26</v>
      </c>
      <c r="L358" t="s">
        <v>19</v>
      </c>
      <c r="M358" t="s">
        <v>28</v>
      </c>
      <c r="N358">
        <f>YEAR(Table1[[#This Row],[Date]])</f>
        <v>2021</v>
      </c>
      <c r="O358" t="str">
        <f>TEXT(Table1[[#This Row],[Date]],"mmm")</f>
        <v>Oct</v>
      </c>
      <c r="P358" t="str">
        <f>IF(Table1[[#This Row],[Total_Cost]]&lt;25,"low",IF(Table1[[#This Row],[Total_Cost]]&lt;60,"medium","high"))</f>
        <v>medium</v>
      </c>
      <c r="Q358" t="str">
        <f>IF(Table1[[#This Row],[Discount_Applied]]=TRUE,"discount applied","no discount")</f>
        <v>no discount</v>
      </c>
    </row>
    <row r="359" spans="1:17" x14ac:dyDescent="0.3">
      <c r="A359">
        <v>1000000357</v>
      </c>
      <c r="B359" s="1">
        <v>44594.096400462964</v>
      </c>
      <c r="C359" t="s">
        <v>733</v>
      </c>
      <c r="D359" t="s">
        <v>734</v>
      </c>
      <c r="E359">
        <v>3</v>
      </c>
      <c r="F359">
        <v>23.43</v>
      </c>
      <c r="G359" t="s">
        <v>31</v>
      </c>
      <c r="H359" t="s">
        <v>36</v>
      </c>
      <c r="I359" t="s">
        <v>25</v>
      </c>
      <c r="J359" t="b">
        <v>1</v>
      </c>
      <c r="K359" t="s">
        <v>87</v>
      </c>
      <c r="L359" t="s">
        <v>38</v>
      </c>
      <c r="M359" t="s">
        <v>20</v>
      </c>
      <c r="N359">
        <f>YEAR(Table1[[#This Row],[Date]])</f>
        <v>2022</v>
      </c>
      <c r="O359" t="str">
        <f>TEXT(Table1[[#This Row],[Date]],"mmm")</f>
        <v>Feb</v>
      </c>
      <c r="P359" t="str">
        <f>IF(Table1[[#This Row],[Total_Cost]]&lt;25,"low",IF(Table1[[#This Row],[Total_Cost]]&lt;60,"medium","high"))</f>
        <v>low</v>
      </c>
      <c r="Q359" t="str">
        <f>IF(Table1[[#This Row],[Discount_Applied]]=TRUE,"discount applied","no discount")</f>
        <v>discount applied</v>
      </c>
    </row>
    <row r="360" spans="1:17" x14ac:dyDescent="0.3">
      <c r="A360">
        <v>1000000358</v>
      </c>
      <c r="B360" s="1">
        <v>44628.126932870371</v>
      </c>
      <c r="C360" t="s">
        <v>735</v>
      </c>
      <c r="D360" t="s">
        <v>736</v>
      </c>
      <c r="E360">
        <v>7</v>
      </c>
      <c r="F360">
        <v>56.8</v>
      </c>
      <c r="G360" t="s">
        <v>15</v>
      </c>
      <c r="H360" t="s">
        <v>129</v>
      </c>
      <c r="I360" t="s">
        <v>25</v>
      </c>
      <c r="J360" t="b">
        <v>1</v>
      </c>
      <c r="K360" t="s">
        <v>26</v>
      </c>
      <c r="L360" t="s">
        <v>27</v>
      </c>
      <c r="M360" t="s">
        <v>28</v>
      </c>
      <c r="N360">
        <f>YEAR(Table1[[#This Row],[Date]])</f>
        <v>2022</v>
      </c>
      <c r="O360" t="str">
        <f>TEXT(Table1[[#This Row],[Date]],"mmm")</f>
        <v>Mar</v>
      </c>
      <c r="P360" t="str">
        <f>IF(Table1[[#This Row],[Total_Cost]]&lt;25,"low",IF(Table1[[#This Row],[Total_Cost]]&lt;60,"medium","high"))</f>
        <v>medium</v>
      </c>
      <c r="Q360" t="str">
        <f>IF(Table1[[#This Row],[Discount_Applied]]=TRUE,"discount applied","no discount")</f>
        <v>discount applied</v>
      </c>
    </row>
    <row r="361" spans="1:17" x14ac:dyDescent="0.3">
      <c r="A361">
        <v>1000000359</v>
      </c>
      <c r="B361" s="1">
        <v>45267.583344907405</v>
      </c>
      <c r="C361" t="s">
        <v>737</v>
      </c>
      <c r="D361" t="s">
        <v>738</v>
      </c>
      <c r="E361">
        <v>8</v>
      </c>
      <c r="F361">
        <v>84.44</v>
      </c>
      <c r="G361" t="s">
        <v>15</v>
      </c>
      <c r="H361" t="s">
        <v>50</v>
      </c>
      <c r="I361" t="s">
        <v>33</v>
      </c>
      <c r="J361" t="b">
        <v>0</v>
      </c>
      <c r="K361" t="s">
        <v>18</v>
      </c>
      <c r="L361" t="s">
        <v>27</v>
      </c>
      <c r="M361" t="s">
        <v>43</v>
      </c>
      <c r="N361">
        <f>YEAR(Table1[[#This Row],[Date]])</f>
        <v>2023</v>
      </c>
      <c r="O361" t="str">
        <f>TEXT(Table1[[#This Row],[Date]],"mmm")</f>
        <v>Dec</v>
      </c>
      <c r="P361" t="str">
        <f>IF(Table1[[#This Row],[Total_Cost]]&lt;25,"low",IF(Table1[[#This Row],[Total_Cost]]&lt;60,"medium","high"))</f>
        <v>high</v>
      </c>
      <c r="Q361" t="str">
        <f>IF(Table1[[#This Row],[Discount_Applied]]=TRUE,"discount applied","no discount")</f>
        <v>no discount</v>
      </c>
    </row>
    <row r="362" spans="1:17" x14ac:dyDescent="0.3">
      <c r="A362">
        <v>1000000360</v>
      </c>
      <c r="B362" s="1">
        <v>45263.034641203703</v>
      </c>
      <c r="C362" t="s">
        <v>739</v>
      </c>
      <c r="D362" t="s">
        <v>740</v>
      </c>
      <c r="E362">
        <v>9</v>
      </c>
      <c r="F362">
        <v>13.58</v>
      </c>
      <c r="G362" t="s">
        <v>23</v>
      </c>
      <c r="H362" t="s">
        <v>36</v>
      </c>
      <c r="I362" t="s">
        <v>33</v>
      </c>
      <c r="J362" t="b">
        <v>0</v>
      </c>
      <c r="K362" t="s">
        <v>18</v>
      </c>
      <c r="L362" t="s">
        <v>19</v>
      </c>
      <c r="M362" t="s">
        <v>20</v>
      </c>
      <c r="N362">
        <f>YEAR(Table1[[#This Row],[Date]])</f>
        <v>2023</v>
      </c>
      <c r="O362" t="str">
        <f>TEXT(Table1[[#This Row],[Date]],"mmm")</f>
        <v>Dec</v>
      </c>
      <c r="P362" t="str">
        <f>IF(Table1[[#This Row],[Total_Cost]]&lt;25,"low",IF(Table1[[#This Row],[Total_Cost]]&lt;60,"medium","high"))</f>
        <v>low</v>
      </c>
      <c r="Q362" t="str">
        <f>IF(Table1[[#This Row],[Discount_Applied]]=TRUE,"discount applied","no discount")</f>
        <v>no discount</v>
      </c>
    </row>
    <row r="363" spans="1:17" x14ac:dyDescent="0.3">
      <c r="A363">
        <v>1000000361</v>
      </c>
      <c r="B363" s="1">
        <v>45203.772465277776</v>
      </c>
      <c r="C363" t="s">
        <v>741</v>
      </c>
      <c r="D363" t="s">
        <v>228</v>
      </c>
      <c r="E363">
        <v>6</v>
      </c>
      <c r="F363">
        <v>19.22</v>
      </c>
      <c r="G363" t="s">
        <v>15</v>
      </c>
      <c r="H363" t="s">
        <v>24</v>
      </c>
      <c r="I363" t="s">
        <v>25</v>
      </c>
      <c r="J363" t="b">
        <v>1</v>
      </c>
      <c r="K363" t="s">
        <v>42</v>
      </c>
      <c r="L363" t="s">
        <v>52</v>
      </c>
      <c r="M363" t="s">
        <v>28</v>
      </c>
      <c r="N363">
        <f>YEAR(Table1[[#This Row],[Date]])</f>
        <v>2023</v>
      </c>
      <c r="O363" t="str">
        <f>TEXT(Table1[[#This Row],[Date]],"mmm")</f>
        <v>Oct</v>
      </c>
      <c r="P363" t="str">
        <f>IF(Table1[[#This Row],[Total_Cost]]&lt;25,"low",IF(Table1[[#This Row],[Total_Cost]]&lt;60,"medium","high"))</f>
        <v>low</v>
      </c>
      <c r="Q363" t="str">
        <f>IF(Table1[[#This Row],[Discount_Applied]]=TRUE,"discount applied","no discount")</f>
        <v>discount applied</v>
      </c>
    </row>
    <row r="364" spans="1:17" x14ac:dyDescent="0.3">
      <c r="A364">
        <v>1000000362</v>
      </c>
      <c r="B364" s="1">
        <v>44065.750416666669</v>
      </c>
      <c r="C364" t="s">
        <v>742</v>
      </c>
      <c r="D364" t="s">
        <v>743</v>
      </c>
      <c r="E364">
        <v>7</v>
      </c>
      <c r="F364">
        <v>85.72</v>
      </c>
      <c r="G364" t="s">
        <v>23</v>
      </c>
      <c r="H364" t="s">
        <v>36</v>
      </c>
      <c r="I364" t="s">
        <v>25</v>
      </c>
      <c r="J364" t="b">
        <v>0</v>
      </c>
      <c r="K364" t="s">
        <v>87</v>
      </c>
      <c r="L364" t="s">
        <v>52</v>
      </c>
      <c r="M364" t="s">
        <v>43</v>
      </c>
      <c r="N364">
        <f>YEAR(Table1[[#This Row],[Date]])</f>
        <v>2020</v>
      </c>
      <c r="O364" t="str">
        <f>TEXT(Table1[[#This Row],[Date]],"mmm")</f>
        <v>Aug</v>
      </c>
      <c r="P364" t="str">
        <f>IF(Table1[[#This Row],[Total_Cost]]&lt;25,"low",IF(Table1[[#This Row],[Total_Cost]]&lt;60,"medium","high"))</f>
        <v>high</v>
      </c>
      <c r="Q364" t="str">
        <f>IF(Table1[[#This Row],[Discount_Applied]]=TRUE,"discount applied","no discount")</f>
        <v>no discount</v>
      </c>
    </row>
    <row r="365" spans="1:17" x14ac:dyDescent="0.3">
      <c r="A365">
        <v>1000000363</v>
      </c>
      <c r="B365" s="1">
        <v>45011.277002314811</v>
      </c>
      <c r="C365" t="s">
        <v>744</v>
      </c>
      <c r="D365" t="s">
        <v>745</v>
      </c>
      <c r="E365">
        <v>3</v>
      </c>
      <c r="F365">
        <v>97.56</v>
      </c>
      <c r="G365" t="s">
        <v>31</v>
      </c>
      <c r="H365" t="s">
        <v>70</v>
      </c>
      <c r="I365" t="s">
        <v>59</v>
      </c>
      <c r="J365" t="b">
        <v>1</v>
      </c>
      <c r="K365" t="s">
        <v>42</v>
      </c>
      <c r="L365" t="s">
        <v>19</v>
      </c>
      <c r="M365" t="s">
        <v>20</v>
      </c>
      <c r="N365">
        <f>YEAR(Table1[[#This Row],[Date]])</f>
        <v>2023</v>
      </c>
      <c r="O365" t="str">
        <f>TEXT(Table1[[#This Row],[Date]],"mmm")</f>
        <v>Mar</v>
      </c>
      <c r="P365" t="str">
        <f>IF(Table1[[#This Row],[Total_Cost]]&lt;25,"low",IF(Table1[[#This Row],[Total_Cost]]&lt;60,"medium","high"))</f>
        <v>high</v>
      </c>
      <c r="Q365" t="str">
        <f>IF(Table1[[#This Row],[Discount_Applied]]=TRUE,"discount applied","no discount")</f>
        <v>discount applied</v>
      </c>
    </row>
    <row r="366" spans="1:17" x14ac:dyDescent="0.3">
      <c r="A366">
        <v>1000000364</v>
      </c>
      <c r="B366" s="1">
        <v>43911.801180555558</v>
      </c>
      <c r="C366" t="s">
        <v>746</v>
      </c>
      <c r="D366" t="s">
        <v>747</v>
      </c>
      <c r="E366">
        <v>9</v>
      </c>
      <c r="F366">
        <v>47.37</v>
      </c>
      <c r="G366" t="s">
        <v>41</v>
      </c>
      <c r="H366" t="s">
        <v>70</v>
      </c>
      <c r="I366" t="s">
        <v>46</v>
      </c>
      <c r="J366" t="b">
        <v>1</v>
      </c>
      <c r="K366" t="s">
        <v>80</v>
      </c>
      <c r="L366" t="s">
        <v>38</v>
      </c>
      <c r="M366" t="s">
        <v>43</v>
      </c>
      <c r="N366">
        <f>YEAR(Table1[[#This Row],[Date]])</f>
        <v>2020</v>
      </c>
      <c r="O366" t="str">
        <f>TEXT(Table1[[#This Row],[Date]],"mmm")</f>
        <v>Mar</v>
      </c>
      <c r="P366" t="str">
        <f>IF(Table1[[#This Row],[Total_Cost]]&lt;25,"low",IF(Table1[[#This Row],[Total_Cost]]&lt;60,"medium","high"))</f>
        <v>medium</v>
      </c>
      <c r="Q366" t="str">
        <f>IF(Table1[[#This Row],[Discount_Applied]]=TRUE,"discount applied","no discount")</f>
        <v>discount applied</v>
      </c>
    </row>
    <row r="367" spans="1:17" x14ac:dyDescent="0.3">
      <c r="A367">
        <v>1000000365</v>
      </c>
      <c r="B367" s="1">
        <v>44537.98778935185</v>
      </c>
      <c r="C367" t="s">
        <v>748</v>
      </c>
      <c r="D367" t="s">
        <v>749</v>
      </c>
      <c r="E367">
        <v>9</v>
      </c>
      <c r="F367">
        <v>53.5</v>
      </c>
      <c r="G367" t="s">
        <v>15</v>
      </c>
      <c r="H367" t="s">
        <v>50</v>
      </c>
      <c r="I367" t="s">
        <v>46</v>
      </c>
      <c r="J367" t="b">
        <v>0</v>
      </c>
      <c r="K367" t="s">
        <v>80</v>
      </c>
      <c r="L367" t="s">
        <v>27</v>
      </c>
      <c r="M367" t="s">
        <v>28</v>
      </c>
      <c r="N367">
        <f>YEAR(Table1[[#This Row],[Date]])</f>
        <v>2021</v>
      </c>
      <c r="O367" t="str">
        <f>TEXT(Table1[[#This Row],[Date]],"mmm")</f>
        <v>Dec</v>
      </c>
      <c r="P367" t="str">
        <f>IF(Table1[[#This Row],[Total_Cost]]&lt;25,"low",IF(Table1[[#This Row],[Total_Cost]]&lt;60,"medium","high"))</f>
        <v>medium</v>
      </c>
      <c r="Q367" t="str">
        <f>IF(Table1[[#This Row],[Discount_Applied]]=TRUE,"discount applied","no discount")</f>
        <v>no discount</v>
      </c>
    </row>
    <row r="368" spans="1:17" x14ac:dyDescent="0.3">
      <c r="A368">
        <v>1000000366</v>
      </c>
      <c r="B368" s="1">
        <v>44309.332777777781</v>
      </c>
      <c r="C368" t="s">
        <v>750</v>
      </c>
      <c r="D368" t="s">
        <v>538</v>
      </c>
      <c r="E368">
        <v>3</v>
      </c>
      <c r="F368">
        <v>57.72</v>
      </c>
      <c r="G368" t="s">
        <v>15</v>
      </c>
      <c r="H368" t="s">
        <v>32</v>
      </c>
      <c r="I368" t="s">
        <v>37</v>
      </c>
      <c r="J368" t="b">
        <v>0</v>
      </c>
      <c r="K368" t="s">
        <v>47</v>
      </c>
      <c r="L368" t="s">
        <v>52</v>
      </c>
      <c r="M368" t="s">
        <v>28</v>
      </c>
      <c r="N368">
        <f>YEAR(Table1[[#This Row],[Date]])</f>
        <v>2021</v>
      </c>
      <c r="O368" t="str">
        <f>TEXT(Table1[[#This Row],[Date]],"mmm")</f>
        <v>Apr</v>
      </c>
      <c r="P368" t="str">
        <f>IF(Table1[[#This Row],[Total_Cost]]&lt;25,"low",IF(Table1[[#This Row],[Total_Cost]]&lt;60,"medium","high"))</f>
        <v>medium</v>
      </c>
      <c r="Q368" t="str">
        <f>IF(Table1[[#This Row],[Discount_Applied]]=TRUE,"discount applied","no discount")</f>
        <v>no discount</v>
      </c>
    </row>
    <row r="369" spans="1:17" x14ac:dyDescent="0.3">
      <c r="A369">
        <v>1000000367</v>
      </c>
      <c r="B369" s="1">
        <v>45019.212592592594</v>
      </c>
      <c r="C369" t="s">
        <v>751</v>
      </c>
      <c r="D369" t="s">
        <v>752</v>
      </c>
      <c r="E369">
        <v>3</v>
      </c>
      <c r="F369">
        <v>46.88</v>
      </c>
      <c r="G369" t="s">
        <v>23</v>
      </c>
      <c r="H369" t="s">
        <v>24</v>
      </c>
      <c r="I369" t="s">
        <v>46</v>
      </c>
      <c r="J369" t="b">
        <v>1</v>
      </c>
      <c r="K369" t="s">
        <v>80</v>
      </c>
      <c r="L369" t="s">
        <v>19</v>
      </c>
      <c r="M369" t="s">
        <v>20</v>
      </c>
      <c r="N369">
        <f>YEAR(Table1[[#This Row],[Date]])</f>
        <v>2023</v>
      </c>
      <c r="O369" t="str">
        <f>TEXT(Table1[[#This Row],[Date]],"mmm")</f>
        <v>Apr</v>
      </c>
      <c r="P369" t="str">
        <f>IF(Table1[[#This Row],[Total_Cost]]&lt;25,"low",IF(Table1[[#This Row],[Total_Cost]]&lt;60,"medium","high"))</f>
        <v>medium</v>
      </c>
      <c r="Q369" t="str">
        <f>IF(Table1[[#This Row],[Discount_Applied]]=TRUE,"discount applied","no discount")</f>
        <v>discount applied</v>
      </c>
    </row>
    <row r="370" spans="1:17" x14ac:dyDescent="0.3">
      <c r="A370">
        <v>1000000368</v>
      </c>
      <c r="B370" s="1">
        <v>44337.579409722224</v>
      </c>
      <c r="C370" t="s">
        <v>753</v>
      </c>
      <c r="D370" t="s">
        <v>754</v>
      </c>
      <c r="E370">
        <v>4</v>
      </c>
      <c r="F370">
        <v>97.58</v>
      </c>
      <c r="G370" t="s">
        <v>31</v>
      </c>
      <c r="H370" t="s">
        <v>65</v>
      </c>
      <c r="I370" t="s">
        <v>33</v>
      </c>
      <c r="J370" t="b">
        <v>1</v>
      </c>
      <c r="K370" t="s">
        <v>42</v>
      </c>
      <c r="L370" t="s">
        <v>27</v>
      </c>
      <c r="M370" t="s">
        <v>20</v>
      </c>
      <c r="N370">
        <f>YEAR(Table1[[#This Row],[Date]])</f>
        <v>2021</v>
      </c>
      <c r="O370" t="str">
        <f>TEXT(Table1[[#This Row],[Date]],"mmm")</f>
        <v>May</v>
      </c>
      <c r="P370" t="str">
        <f>IF(Table1[[#This Row],[Total_Cost]]&lt;25,"low",IF(Table1[[#This Row],[Total_Cost]]&lt;60,"medium","high"))</f>
        <v>high</v>
      </c>
      <c r="Q370" t="str">
        <f>IF(Table1[[#This Row],[Discount_Applied]]=TRUE,"discount applied","no discount")</f>
        <v>discount applied</v>
      </c>
    </row>
    <row r="371" spans="1:17" x14ac:dyDescent="0.3">
      <c r="A371">
        <v>1000000369</v>
      </c>
      <c r="B371" s="1">
        <v>44804.345729166664</v>
      </c>
      <c r="C371" t="s">
        <v>755</v>
      </c>
      <c r="D371" t="s">
        <v>756</v>
      </c>
      <c r="E371">
        <v>8</v>
      </c>
      <c r="F371">
        <v>7.26</v>
      </c>
      <c r="G371" t="s">
        <v>41</v>
      </c>
      <c r="H371" t="s">
        <v>77</v>
      </c>
      <c r="I371" t="s">
        <v>17</v>
      </c>
      <c r="J371" t="b">
        <v>1</v>
      </c>
      <c r="K371" t="s">
        <v>80</v>
      </c>
      <c r="L371" t="s">
        <v>19</v>
      </c>
      <c r="M371" t="s">
        <v>20</v>
      </c>
      <c r="N371">
        <f>YEAR(Table1[[#This Row],[Date]])</f>
        <v>2022</v>
      </c>
      <c r="O371" t="str">
        <f>TEXT(Table1[[#This Row],[Date]],"mmm")</f>
        <v>Aug</v>
      </c>
      <c r="P371" t="str">
        <f>IF(Table1[[#This Row],[Total_Cost]]&lt;25,"low",IF(Table1[[#This Row],[Total_Cost]]&lt;60,"medium","high"))</f>
        <v>low</v>
      </c>
      <c r="Q371" t="str">
        <f>IF(Table1[[#This Row],[Discount_Applied]]=TRUE,"discount applied","no discount")</f>
        <v>discount applied</v>
      </c>
    </row>
    <row r="372" spans="1:17" x14ac:dyDescent="0.3">
      <c r="A372">
        <v>1000000370</v>
      </c>
      <c r="B372" s="1">
        <v>45249.869317129633</v>
      </c>
      <c r="C372" t="s">
        <v>757</v>
      </c>
      <c r="D372" t="s">
        <v>280</v>
      </c>
      <c r="E372">
        <v>2</v>
      </c>
      <c r="F372">
        <v>8.4</v>
      </c>
      <c r="G372" t="s">
        <v>23</v>
      </c>
      <c r="H372" t="s">
        <v>36</v>
      </c>
      <c r="I372" t="s">
        <v>59</v>
      </c>
      <c r="J372" t="b">
        <v>0</v>
      </c>
      <c r="K372" t="s">
        <v>87</v>
      </c>
      <c r="L372" t="s">
        <v>52</v>
      </c>
      <c r="M372" t="s">
        <v>20</v>
      </c>
      <c r="N372">
        <f>YEAR(Table1[[#This Row],[Date]])</f>
        <v>2023</v>
      </c>
      <c r="O372" t="str">
        <f>TEXT(Table1[[#This Row],[Date]],"mmm")</f>
        <v>Nov</v>
      </c>
      <c r="P372" t="str">
        <f>IF(Table1[[#This Row],[Total_Cost]]&lt;25,"low",IF(Table1[[#This Row],[Total_Cost]]&lt;60,"medium","high"))</f>
        <v>low</v>
      </c>
      <c r="Q372" t="str">
        <f>IF(Table1[[#This Row],[Discount_Applied]]=TRUE,"discount applied","no discount")</f>
        <v>no discount</v>
      </c>
    </row>
    <row r="373" spans="1:17" x14ac:dyDescent="0.3">
      <c r="A373">
        <v>1000000371</v>
      </c>
      <c r="B373" s="1">
        <v>44061.179108796299</v>
      </c>
      <c r="C373" t="s">
        <v>758</v>
      </c>
      <c r="D373" t="s">
        <v>759</v>
      </c>
      <c r="E373">
        <v>7</v>
      </c>
      <c r="F373">
        <v>62.14</v>
      </c>
      <c r="G373" t="s">
        <v>41</v>
      </c>
      <c r="H373" t="s">
        <v>36</v>
      </c>
      <c r="I373" t="s">
        <v>33</v>
      </c>
      <c r="J373" t="b">
        <v>1</v>
      </c>
      <c r="K373" t="s">
        <v>18</v>
      </c>
      <c r="L373" t="s">
        <v>19</v>
      </c>
      <c r="M373" t="s">
        <v>43</v>
      </c>
      <c r="N373">
        <f>YEAR(Table1[[#This Row],[Date]])</f>
        <v>2020</v>
      </c>
      <c r="O373" t="str">
        <f>TEXT(Table1[[#This Row],[Date]],"mmm")</f>
        <v>Aug</v>
      </c>
      <c r="P373" t="str">
        <f>IF(Table1[[#This Row],[Total_Cost]]&lt;25,"low",IF(Table1[[#This Row],[Total_Cost]]&lt;60,"medium","high"))</f>
        <v>high</v>
      </c>
      <c r="Q373" t="str">
        <f>IF(Table1[[#This Row],[Discount_Applied]]=TRUE,"discount applied","no discount")</f>
        <v>discount applied</v>
      </c>
    </row>
    <row r="374" spans="1:17" x14ac:dyDescent="0.3">
      <c r="A374">
        <v>1000000372</v>
      </c>
      <c r="B374" s="1">
        <v>44375.62773148148</v>
      </c>
      <c r="C374" t="s">
        <v>760</v>
      </c>
      <c r="D374" t="s">
        <v>656</v>
      </c>
      <c r="E374">
        <v>9</v>
      </c>
      <c r="F374">
        <v>68.55</v>
      </c>
      <c r="G374" t="s">
        <v>23</v>
      </c>
      <c r="H374" t="s">
        <v>50</v>
      </c>
      <c r="I374" t="s">
        <v>37</v>
      </c>
      <c r="J374" t="b">
        <v>0</v>
      </c>
      <c r="K374" t="s">
        <v>87</v>
      </c>
      <c r="L374" t="s">
        <v>38</v>
      </c>
      <c r="M374" t="s">
        <v>20</v>
      </c>
      <c r="N374">
        <f>YEAR(Table1[[#This Row],[Date]])</f>
        <v>2021</v>
      </c>
      <c r="O374" t="str">
        <f>TEXT(Table1[[#This Row],[Date]],"mmm")</f>
        <v>Jun</v>
      </c>
      <c r="P374" t="str">
        <f>IF(Table1[[#This Row],[Total_Cost]]&lt;25,"low",IF(Table1[[#This Row],[Total_Cost]]&lt;60,"medium","high"))</f>
        <v>high</v>
      </c>
      <c r="Q374" t="str">
        <f>IF(Table1[[#This Row],[Discount_Applied]]=TRUE,"discount applied","no discount")</f>
        <v>no discount</v>
      </c>
    </row>
    <row r="375" spans="1:17" x14ac:dyDescent="0.3">
      <c r="A375">
        <v>1000000373</v>
      </c>
      <c r="B375" s="1">
        <v>44188.169849537036</v>
      </c>
      <c r="C375" t="s">
        <v>761</v>
      </c>
      <c r="D375" t="s">
        <v>762</v>
      </c>
      <c r="E375">
        <v>3</v>
      </c>
      <c r="F375">
        <v>70.09</v>
      </c>
      <c r="G375" t="s">
        <v>41</v>
      </c>
      <c r="H375" t="s">
        <v>32</v>
      </c>
      <c r="I375" t="s">
        <v>59</v>
      </c>
      <c r="J375" t="b">
        <v>0</v>
      </c>
      <c r="K375" t="s">
        <v>26</v>
      </c>
      <c r="L375" t="s">
        <v>19</v>
      </c>
      <c r="M375" t="s">
        <v>28</v>
      </c>
      <c r="N375">
        <f>YEAR(Table1[[#This Row],[Date]])</f>
        <v>2020</v>
      </c>
      <c r="O375" t="str">
        <f>TEXT(Table1[[#This Row],[Date]],"mmm")</f>
        <v>Dec</v>
      </c>
      <c r="P375" t="str">
        <f>IF(Table1[[#This Row],[Total_Cost]]&lt;25,"low",IF(Table1[[#This Row],[Total_Cost]]&lt;60,"medium","high"))</f>
        <v>high</v>
      </c>
      <c r="Q375" t="str">
        <f>IF(Table1[[#This Row],[Discount_Applied]]=TRUE,"discount applied","no discount")</f>
        <v>no discount</v>
      </c>
    </row>
    <row r="376" spans="1:17" x14ac:dyDescent="0.3">
      <c r="A376">
        <v>1000000374</v>
      </c>
      <c r="B376" s="1">
        <v>44867.029097222221</v>
      </c>
      <c r="C376" t="s">
        <v>763</v>
      </c>
      <c r="D376" t="s">
        <v>764</v>
      </c>
      <c r="E376">
        <v>8</v>
      </c>
      <c r="F376">
        <v>23.85</v>
      </c>
      <c r="G376" t="s">
        <v>31</v>
      </c>
      <c r="H376" t="s">
        <v>77</v>
      </c>
      <c r="I376" t="s">
        <v>37</v>
      </c>
      <c r="J376" t="b">
        <v>0</v>
      </c>
      <c r="K376" t="s">
        <v>87</v>
      </c>
      <c r="L376" t="s">
        <v>52</v>
      </c>
      <c r="M376" t="s">
        <v>28</v>
      </c>
      <c r="N376">
        <f>YEAR(Table1[[#This Row],[Date]])</f>
        <v>2022</v>
      </c>
      <c r="O376" t="str">
        <f>TEXT(Table1[[#This Row],[Date]],"mmm")</f>
        <v>Nov</v>
      </c>
      <c r="P376" t="str">
        <f>IF(Table1[[#This Row],[Total_Cost]]&lt;25,"low",IF(Table1[[#This Row],[Total_Cost]]&lt;60,"medium","high"))</f>
        <v>low</v>
      </c>
      <c r="Q376" t="str">
        <f>IF(Table1[[#This Row],[Discount_Applied]]=TRUE,"discount applied","no discount")</f>
        <v>no discount</v>
      </c>
    </row>
    <row r="377" spans="1:17" x14ac:dyDescent="0.3">
      <c r="A377">
        <v>1000000375</v>
      </c>
      <c r="B377" s="1">
        <v>44948.023993055554</v>
      </c>
      <c r="C377" t="s">
        <v>765</v>
      </c>
      <c r="D377" t="s">
        <v>766</v>
      </c>
      <c r="E377">
        <v>8</v>
      </c>
      <c r="F377">
        <v>52.07</v>
      </c>
      <c r="G377" t="s">
        <v>23</v>
      </c>
      <c r="H377" t="s">
        <v>24</v>
      </c>
      <c r="I377" t="s">
        <v>33</v>
      </c>
      <c r="J377" t="b">
        <v>0</v>
      </c>
      <c r="K377" t="s">
        <v>51</v>
      </c>
      <c r="L377" t="s">
        <v>52</v>
      </c>
      <c r="M377" t="s">
        <v>43</v>
      </c>
      <c r="N377">
        <f>YEAR(Table1[[#This Row],[Date]])</f>
        <v>2023</v>
      </c>
      <c r="O377" t="str">
        <f>TEXT(Table1[[#This Row],[Date]],"mmm")</f>
        <v>Jan</v>
      </c>
      <c r="P377" t="str">
        <f>IF(Table1[[#This Row],[Total_Cost]]&lt;25,"low",IF(Table1[[#This Row],[Total_Cost]]&lt;60,"medium","high"))</f>
        <v>medium</v>
      </c>
      <c r="Q377" t="str">
        <f>IF(Table1[[#This Row],[Discount_Applied]]=TRUE,"discount applied","no discount")</f>
        <v>no discount</v>
      </c>
    </row>
    <row r="378" spans="1:17" x14ac:dyDescent="0.3">
      <c r="A378">
        <v>1000000376</v>
      </c>
      <c r="B378" s="1">
        <v>44409.867280092592</v>
      </c>
      <c r="C378" t="s">
        <v>767</v>
      </c>
      <c r="D378" t="s">
        <v>768</v>
      </c>
      <c r="E378">
        <v>4</v>
      </c>
      <c r="F378">
        <v>73.02</v>
      </c>
      <c r="G378" t="s">
        <v>15</v>
      </c>
      <c r="H378" t="s">
        <v>24</v>
      </c>
      <c r="I378" t="s">
        <v>25</v>
      </c>
      <c r="J378" t="b">
        <v>0</v>
      </c>
      <c r="K378" t="s">
        <v>51</v>
      </c>
      <c r="L378" t="s">
        <v>52</v>
      </c>
      <c r="M378" t="s">
        <v>28</v>
      </c>
      <c r="N378">
        <f>YEAR(Table1[[#This Row],[Date]])</f>
        <v>2021</v>
      </c>
      <c r="O378" t="str">
        <f>TEXT(Table1[[#This Row],[Date]],"mmm")</f>
        <v>Aug</v>
      </c>
      <c r="P378" t="str">
        <f>IF(Table1[[#This Row],[Total_Cost]]&lt;25,"low",IF(Table1[[#This Row],[Total_Cost]]&lt;60,"medium","high"))</f>
        <v>high</v>
      </c>
      <c r="Q378" t="str">
        <f>IF(Table1[[#This Row],[Discount_Applied]]=TRUE,"discount applied","no discount")</f>
        <v>no discount</v>
      </c>
    </row>
    <row r="379" spans="1:17" x14ac:dyDescent="0.3">
      <c r="A379">
        <v>1000000377</v>
      </c>
      <c r="B379" s="1">
        <v>45109.203287037039</v>
      </c>
      <c r="C379" t="s">
        <v>769</v>
      </c>
      <c r="D379" t="s">
        <v>770</v>
      </c>
      <c r="E379">
        <v>10</v>
      </c>
      <c r="F379">
        <v>75.92</v>
      </c>
      <c r="G379" t="s">
        <v>31</v>
      </c>
      <c r="H379" t="s">
        <v>16</v>
      </c>
      <c r="I379" t="s">
        <v>17</v>
      </c>
      <c r="J379" t="b">
        <v>1</v>
      </c>
      <c r="K379" t="s">
        <v>51</v>
      </c>
      <c r="L379" t="s">
        <v>52</v>
      </c>
      <c r="M379" t="s">
        <v>28</v>
      </c>
      <c r="N379">
        <f>YEAR(Table1[[#This Row],[Date]])</f>
        <v>2023</v>
      </c>
      <c r="O379" t="str">
        <f>TEXT(Table1[[#This Row],[Date]],"mmm")</f>
        <v>Jul</v>
      </c>
      <c r="P379" t="str">
        <f>IF(Table1[[#This Row],[Total_Cost]]&lt;25,"low",IF(Table1[[#This Row],[Total_Cost]]&lt;60,"medium","high"))</f>
        <v>high</v>
      </c>
      <c r="Q379" t="str">
        <f>IF(Table1[[#This Row],[Discount_Applied]]=TRUE,"discount applied","no discount")</f>
        <v>discount applied</v>
      </c>
    </row>
    <row r="380" spans="1:17" x14ac:dyDescent="0.3">
      <c r="A380">
        <v>1000000378</v>
      </c>
      <c r="B380" s="1">
        <v>44008.778067129628</v>
      </c>
      <c r="C380" t="s">
        <v>771</v>
      </c>
      <c r="D380" t="s">
        <v>772</v>
      </c>
      <c r="E380">
        <v>3</v>
      </c>
      <c r="F380">
        <v>39.81</v>
      </c>
      <c r="G380" t="s">
        <v>31</v>
      </c>
      <c r="H380" t="s">
        <v>129</v>
      </c>
      <c r="I380" t="s">
        <v>59</v>
      </c>
      <c r="J380" t="b">
        <v>0</v>
      </c>
      <c r="K380" t="s">
        <v>42</v>
      </c>
      <c r="L380" t="s">
        <v>27</v>
      </c>
      <c r="M380" t="s">
        <v>20</v>
      </c>
      <c r="N380">
        <f>YEAR(Table1[[#This Row],[Date]])</f>
        <v>2020</v>
      </c>
      <c r="O380" t="str">
        <f>TEXT(Table1[[#This Row],[Date]],"mmm")</f>
        <v>Jun</v>
      </c>
      <c r="P380" t="str">
        <f>IF(Table1[[#This Row],[Total_Cost]]&lt;25,"low",IF(Table1[[#This Row],[Total_Cost]]&lt;60,"medium","high"))</f>
        <v>medium</v>
      </c>
      <c r="Q380" t="str">
        <f>IF(Table1[[#This Row],[Discount_Applied]]=TRUE,"discount applied","no discount")</f>
        <v>no discount</v>
      </c>
    </row>
    <row r="381" spans="1:17" x14ac:dyDescent="0.3">
      <c r="A381">
        <v>1000000379</v>
      </c>
      <c r="B381" s="1">
        <v>44938.109375</v>
      </c>
      <c r="C381" t="s">
        <v>773</v>
      </c>
      <c r="D381" t="s">
        <v>774</v>
      </c>
      <c r="E381">
        <v>5</v>
      </c>
      <c r="F381">
        <v>76.150000000000006</v>
      </c>
      <c r="G381" t="s">
        <v>15</v>
      </c>
      <c r="H381" t="s">
        <v>70</v>
      </c>
      <c r="I381" t="s">
        <v>25</v>
      </c>
      <c r="J381" t="b">
        <v>0</v>
      </c>
      <c r="K381" t="s">
        <v>62</v>
      </c>
      <c r="L381" t="s">
        <v>38</v>
      </c>
      <c r="M381" t="s">
        <v>28</v>
      </c>
      <c r="N381">
        <f>YEAR(Table1[[#This Row],[Date]])</f>
        <v>2023</v>
      </c>
      <c r="O381" t="str">
        <f>TEXT(Table1[[#This Row],[Date]],"mmm")</f>
        <v>Jan</v>
      </c>
      <c r="P381" t="str">
        <f>IF(Table1[[#This Row],[Total_Cost]]&lt;25,"low",IF(Table1[[#This Row],[Total_Cost]]&lt;60,"medium","high"))</f>
        <v>high</v>
      </c>
      <c r="Q381" t="str">
        <f>IF(Table1[[#This Row],[Discount_Applied]]=TRUE,"discount applied","no discount")</f>
        <v>no discount</v>
      </c>
    </row>
    <row r="382" spans="1:17" x14ac:dyDescent="0.3">
      <c r="A382">
        <v>1000000380</v>
      </c>
      <c r="B382" s="1">
        <v>44306.867129629631</v>
      </c>
      <c r="C382" t="s">
        <v>775</v>
      </c>
      <c r="D382" t="s">
        <v>776</v>
      </c>
      <c r="E382">
        <v>10</v>
      </c>
      <c r="F382">
        <v>64.22</v>
      </c>
      <c r="G382" t="s">
        <v>15</v>
      </c>
      <c r="H382" t="s">
        <v>16</v>
      </c>
      <c r="I382" t="s">
        <v>25</v>
      </c>
      <c r="J382" t="b">
        <v>0</v>
      </c>
      <c r="K382" t="s">
        <v>80</v>
      </c>
      <c r="L382" t="s">
        <v>27</v>
      </c>
      <c r="M382" t="s">
        <v>20</v>
      </c>
      <c r="N382">
        <f>YEAR(Table1[[#This Row],[Date]])</f>
        <v>2021</v>
      </c>
      <c r="O382" t="str">
        <f>TEXT(Table1[[#This Row],[Date]],"mmm")</f>
        <v>Apr</v>
      </c>
      <c r="P382" t="str">
        <f>IF(Table1[[#This Row],[Total_Cost]]&lt;25,"low",IF(Table1[[#This Row],[Total_Cost]]&lt;60,"medium","high"))</f>
        <v>high</v>
      </c>
      <c r="Q382" t="str">
        <f>IF(Table1[[#This Row],[Discount_Applied]]=TRUE,"discount applied","no discount")</f>
        <v>no discount</v>
      </c>
    </row>
    <row r="383" spans="1:17" x14ac:dyDescent="0.3">
      <c r="A383">
        <v>1000000381</v>
      </c>
      <c r="B383" s="1">
        <v>43907.282164351855</v>
      </c>
      <c r="C383" t="s">
        <v>777</v>
      </c>
      <c r="D383" t="s">
        <v>778</v>
      </c>
      <c r="E383">
        <v>2</v>
      </c>
      <c r="F383">
        <v>45.26</v>
      </c>
      <c r="G383" t="s">
        <v>31</v>
      </c>
      <c r="H383" t="s">
        <v>50</v>
      </c>
      <c r="I383" t="s">
        <v>46</v>
      </c>
      <c r="J383" t="b">
        <v>1</v>
      </c>
      <c r="K383" t="s">
        <v>51</v>
      </c>
      <c r="L383" t="s">
        <v>52</v>
      </c>
      <c r="M383" t="s">
        <v>28</v>
      </c>
      <c r="N383">
        <f>YEAR(Table1[[#This Row],[Date]])</f>
        <v>2020</v>
      </c>
      <c r="O383" t="str">
        <f>TEXT(Table1[[#This Row],[Date]],"mmm")</f>
        <v>Mar</v>
      </c>
      <c r="P383" t="str">
        <f>IF(Table1[[#This Row],[Total_Cost]]&lt;25,"low",IF(Table1[[#This Row],[Total_Cost]]&lt;60,"medium","high"))</f>
        <v>medium</v>
      </c>
      <c r="Q383" t="str">
        <f>IF(Table1[[#This Row],[Discount_Applied]]=TRUE,"discount applied","no discount")</f>
        <v>discount applied</v>
      </c>
    </row>
    <row r="384" spans="1:17" x14ac:dyDescent="0.3">
      <c r="A384">
        <v>1000000382</v>
      </c>
      <c r="B384" s="1">
        <v>44114.641481481478</v>
      </c>
      <c r="C384" t="s">
        <v>779</v>
      </c>
      <c r="D384" t="s">
        <v>780</v>
      </c>
      <c r="E384">
        <v>7</v>
      </c>
      <c r="F384">
        <v>33.01</v>
      </c>
      <c r="G384" t="s">
        <v>41</v>
      </c>
      <c r="H384" t="s">
        <v>50</v>
      </c>
      <c r="I384" t="s">
        <v>46</v>
      </c>
      <c r="J384" t="b">
        <v>0</v>
      </c>
      <c r="K384" t="s">
        <v>18</v>
      </c>
      <c r="L384" t="s">
        <v>27</v>
      </c>
      <c r="M384" t="s">
        <v>28</v>
      </c>
      <c r="N384">
        <f>YEAR(Table1[[#This Row],[Date]])</f>
        <v>2020</v>
      </c>
      <c r="O384" t="str">
        <f>TEXT(Table1[[#This Row],[Date]],"mmm")</f>
        <v>Oct</v>
      </c>
      <c r="P384" t="str">
        <f>IF(Table1[[#This Row],[Total_Cost]]&lt;25,"low",IF(Table1[[#This Row],[Total_Cost]]&lt;60,"medium","high"))</f>
        <v>medium</v>
      </c>
      <c r="Q384" t="str">
        <f>IF(Table1[[#This Row],[Discount_Applied]]=TRUE,"discount applied","no discount")</f>
        <v>no discount</v>
      </c>
    </row>
    <row r="385" spans="1:17" x14ac:dyDescent="0.3">
      <c r="A385">
        <v>1000000383</v>
      </c>
      <c r="B385" s="1">
        <v>44548.889166666668</v>
      </c>
      <c r="C385" t="s">
        <v>781</v>
      </c>
      <c r="D385" t="s">
        <v>161</v>
      </c>
      <c r="E385">
        <v>8</v>
      </c>
      <c r="F385">
        <v>42.14</v>
      </c>
      <c r="G385" t="s">
        <v>31</v>
      </c>
      <c r="H385" t="s">
        <v>70</v>
      </c>
      <c r="I385" t="s">
        <v>59</v>
      </c>
      <c r="J385" t="b">
        <v>0</v>
      </c>
      <c r="K385" t="s">
        <v>18</v>
      </c>
      <c r="L385" t="s">
        <v>27</v>
      </c>
      <c r="M385" t="s">
        <v>20</v>
      </c>
      <c r="N385">
        <f>YEAR(Table1[[#This Row],[Date]])</f>
        <v>2021</v>
      </c>
      <c r="O385" t="str">
        <f>TEXT(Table1[[#This Row],[Date]],"mmm")</f>
        <v>Dec</v>
      </c>
      <c r="P385" t="str">
        <f>IF(Table1[[#This Row],[Total_Cost]]&lt;25,"low",IF(Table1[[#This Row],[Total_Cost]]&lt;60,"medium","high"))</f>
        <v>medium</v>
      </c>
      <c r="Q385" t="str">
        <f>IF(Table1[[#This Row],[Discount_Applied]]=TRUE,"discount applied","no discount")</f>
        <v>no discount</v>
      </c>
    </row>
    <row r="386" spans="1:17" x14ac:dyDescent="0.3">
      <c r="A386">
        <v>1000000384</v>
      </c>
      <c r="B386" s="1">
        <v>44012.767106481479</v>
      </c>
      <c r="C386" t="s">
        <v>782</v>
      </c>
      <c r="D386" t="s">
        <v>783</v>
      </c>
      <c r="E386">
        <v>5</v>
      </c>
      <c r="F386">
        <v>50.18</v>
      </c>
      <c r="G386" t="s">
        <v>31</v>
      </c>
      <c r="H386" t="s">
        <v>32</v>
      </c>
      <c r="I386" t="s">
        <v>59</v>
      </c>
      <c r="J386" t="b">
        <v>1</v>
      </c>
      <c r="K386" t="s">
        <v>42</v>
      </c>
      <c r="L386" t="s">
        <v>19</v>
      </c>
      <c r="M386" t="s">
        <v>28</v>
      </c>
      <c r="N386">
        <f>YEAR(Table1[[#This Row],[Date]])</f>
        <v>2020</v>
      </c>
      <c r="O386" t="str">
        <f>TEXT(Table1[[#This Row],[Date]],"mmm")</f>
        <v>Jun</v>
      </c>
      <c r="P386" t="str">
        <f>IF(Table1[[#This Row],[Total_Cost]]&lt;25,"low",IF(Table1[[#This Row],[Total_Cost]]&lt;60,"medium","high"))</f>
        <v>medium</v>
      </c>
      <c r="Q386" t="str">
        <f>IF(Table1[[#This Row],[Discount_Applied]]=TRUE,"discount applied","no discount")</f>
        <v>discount applied</v>
      </c>
    </row>
    <row r="387" spans="1:17" x14ac:dyDescent="0.3">
      <c r="A387">
        <v>1000000385</v>
      </c>
      <c r="B387" s="1">
        <v>45115.595370370371</v>
      </c>
      <c r="C387" t="s">
        <v>784</v>
      </c>
      <c r="D387" t="s">
        <v>785</v>
      </c>
      <c r="E387">
        <v>3</v>
      </c>
      <c r="F387">
        <v>64.83</v>
      </c>
      <c r="G387" t="s">
        <v>23</v>
      </c>
      <c r="H387" t="s">
        <v>50</v>
      </c>
      <c r="I387" t="s">
        <v>17</v>
      </c>
      <c r="J387" t="b">
        <v>0</v>
      </c>
      <c r="K387" t="s">
        <v>80</v>
      </c>
      <c r="L387" t="s">
        <v>27</v>
      </c>
      <c r="M387" t="s">
        <v>43</v>
      </c>
      <c r="N387">
        <f>YEAR(Table1[[#This Row],[Date]])</f>
        <v>2023</v>
      </c>
      <c r="O387" t="str">
        <f>TEXT(Table1[[#This Row],[Date]],"mmm")</f>
        <v>Jul</v>
      </c>
      <c r="P387" t="str">
        <f>IF(Table1[[#This Row],[Total_Cost]]&lt;25,"low",IF(Table1[[#This Row],[Total_Cost]]&lt;60,"medium","high"))</f>
        <v>high</v>
      </c>
      <c r="Q387" t="str">
        <f>IF(Table1[[#This Row],[Discount_Applied]]=TRUE,"discount applied","no discount")</f>
        <v>no discount</v>
      </c>
    </row>
    <row r="388" spans="1:17" x14ac:dyDescent="0.3">
      <c r="A388">
        <v>1000000386</v>
      </c>
      <c r="B388" s="1">
        <v>44289.994780092595</v>
      </c>
      <c r="C388" t="s">
        <v>786</v>
      </c>
      <c r="D388" t="s">
        <v>787</v>
      </c>
      <c r="E388">
        <v>3</v>
      </c>
      <c r="F388">
        <v>26.2</v>
      </c>
      <c r="G388" t="s">
        <v>41</v>
      </c>
      <c r="H388" t="s">
        <v>96</v>
      </c>
      <c r="I388" t="s">
        <v>59</v>
      </c>
      <c r="J388" t="b">
        <v>0</v>
      </c>
      <c r="K388" t="s">
        <v>18</v>
      </c>
      <c r="L388" t="s">
        <v>27</v>
      </c>
      <c r="M388" t="s">
        <v>20</v>
      </c>
      <c r="N388">
        <f>YEAR(Table1[[#This Row],[Date]])</f>
        <v>2021</v>
      </c>
      <c r="O388" t="str">
        <f>TEXT(Table1[[#This Row],[Date]],"mmm")</f>
        <v>Apr</v>
      </c>
      <c r="P388" t="str">
        <f>IF(Table1[[#This Row],[Total_Cost]]&lt;25,"low",IF(Table1[[#This Row],[Total_Cost]]&lt;60,"medium","high"))</f>
        <v>medium</v>
      </c>
      <c r="Q388" t="str">
        <f>IF(Table1[[#This Row],[Discount_Applied]]=TRUE,"discount applied","no discount")</f>
        <v>no discount</v>
      </c>
    </row>
    <row r="389" spans="1:17" x14ac:dyDescent="0.3">
      <c r="A389">
        <v>1000000387</v>
      </c>
      <c r="B389" s="1">
        <v>44334.930289351854</v>
      </c>
      <c r="C389" t="s">
        <v>788</v>
      </c>
      <c r="D389" t="s">
        <v>789</v>
      </c>
      <c r="E389">
        <v>7</v>
      </c>
      <c r="F389">
        <v>65.94</v>
      </c>
      <c r="G389" t="s">
        <v>41</v>
      </c>
      <c r="H389" t="s">
        <v>36</v>
      </c>
      <c r="I389" t="s">
        <v>37</v>
      </c>
      <c r="J389" t="b">
        <v>1</v>
      </c>
      <c r="K389" t="s">
        <v>51</v>
      </c>
      <c r="L389" t="s">
        <v>52</v>
      </c>
      <c r="M389" t="s">
        <v>28</v>
      </c>
      <c r="N389">
        <f>YEAR(Table1[[#This Row],[Date]])</f>
        <v>2021</v>
      </c>
      <c r="O389" t="str">
        <f>TEXT(Table1[[#This Row],[Date]],"mmm")</f>
        <v>May</v>
      </c>
      <c r="P389" t="str">
        <f>IF(Table1[[#This Row],[Total_Cost]]&lt;25,"low",IF(Table1[[#This Row],[Total_Cost]]&lt;60,"medium","high"))</f>
        <v>high</v>
      </c>
      <c r="Q389" t="str">
        <f>IF(Table1[[#This Row],[Discount_Applied]]=TRUE,"discount applied","no discount")</f>
        <v>discount applied</v>
      </c>
    </row>
    <row r="390" spans="1:17" x14ac:dyDescent="0.3">
      <c r="A390">
        <v>1000000388</v>
      </c>
      <c r="B390" s="1">
        <v>45116.434861111113</v>
      </c>
      <c r="C390" t="s">
        <v>790</v>
      </c>
      <c r="D390" t="s">
        <v>791</v>
      </c>
      <c r="E390">
        <v>4</v>
      </c>
      <c r="F390">
        <v>63.15</v>
      </c>
      <c r="G390" t="s">
        <v>23</v>
      </c>
      <c r="H390" t="s">
        <v>32</v>
      </c>
      <c r="I390" t="s">
        <v>59</v>
      </c>
      <c r="J390" t="b">
        <v>1</v>
      </c>
      <c r="K390" t="s">
        <v>80</v>
      </c>
      <c r="L390" t="s">
        <v>19</v>
      </c>
      <c r="M390" t="s">
        <v>43</v>
      </c>
      <c r="N390">
        <f>YEAR(Table1[[#This Row],[Date]])</f>
        <v>2023</v>
      </c>
      <c r="O390" t="str">
        <f>TEXT(Table1[[#This Row],[Date]],"mmm")</f>
        <v>Jul</v>
      </c>
      <c r="P390" t="str">
        <f>IF(Table1[[#This Row],[Total_Cost]]&lt;25,"low",IF(Table1[[#This Row],[Total_Cost]]&lt;60,"medium","high"))</f>
        <v>high</v>
      </c>
      <c r="Q390" t="str">
        <f>IF(Table1[[#This Row],[Discount_Applied]]=TRUE,"discount applied","no discount")</f>
        <v>discount applied</v>
      </c>
    </row>
    <row r="391" spans="1:17" x14ac:dyDescent="0.3">
      <c r="A391">
        <v>1000000389</v>
      </c>
      <c r="B391" s="1">
        <v>44088.075231481482</v>
      </c>
      <c r="C391" t="s">
        <v>792</v>
      </c>
      <c r="D391" t="s">
        <v>793</v>
      </c>
      <c r="E391">
        <v>5</v>
      </c>
      <c r="F391">
        <v>87.35</v>
      </c>
      <c r="G391" t="s">
        <v>41</v>
      </c>
      <c r="H391" t="s">
        <v>77</v>
      </c>
      <c r="I391" t="s">
        <v>25</v>
      </c>
      <c r="J391" t="b">
        <v>0</v>
      </c>
      <c r="K391" t="s">
        <v>18</v>
      </c>
      <c r="L391" t="s">
        <v>38</v>
      </c>
      <c r="M391" t="s">
        <v>28</v>
      </c>
      <c r="N391">
        <f>YEAR(Table1[[#This Row],[Date]])</f>
        <v>2020</v>
      </c>
      <c r="O391" t="str">
        <f>TEXT(Table1[[#This Row],[Date]],"mmm")</f>
        <v>Sep</v>
      </c>
      <c r="P391" t="str">
        <f>IF(Table1[[#This Row],[Total_Cost]]&lt;25,"low",IF(Table1[[#This Row],[Total_Cost]]&lt;60,"medium","high"))</f>
        <v>high</v>
      </c>
      <c r="Q391" t="str">
        <f>IF(Table1[[#This Row],[Discount_Applied]]=TRUE,"discount applied","no discount")</f>
        <v>no discount</v>
      </c>
    </row>
    <row r="392" spans="1:17" x14ac:dyDescent="0.3">
      <c r="A392">
        <v>1000000390</v>
      </c>
      <c r="B392" s="1">
        <v>45365.792361111111</v>
      </c>
      <c r="C392" t="s">
        <v>794</v>
      </c>
      <c r="D392" t="s">
        <v>795</v>
      </c>
      <c r="E392">
        <v>8</v>
      </c>
      <c r="F392">
        <v>65.900000000000006</v>
      </c>
      <c r="G392" t="s">
        <v>41</v>
      </c>
      <c r="H392" t="s">
        <v>65</v>
      </c>
      <c r="I392" t="s">
        <v>59</v>
      </c>
      <c r="J392" t="b">
        <v>0</v>
      </c>
      <c r="K392" t="s">
        <v>26</v>
      </c>
      <c r="L392" t="s">
        <v>38</v>
      </c>
      <c r="M392" t="s">
        <v>20</v>
      </c>
      <c r="N392">
        <f>YEAR(Table1[[#This Row],[Date]])</f>
        <v>2024</v>
      </c>
      <c r="O392" t="str">
        <f>TEXT(Table1[[#This Row],[Date]],"mmm")</f>
        <v>Mar</v>
      </c>
      <c r="P392" t="str">
        <f>IF(Table1[[#This Row],[Total_Cost]]&lt;25,"low",IF(Table1[[#This Row],[Total_Cost]]&lt;60,"medium","high"))</f>
        <v>high</v>
      </c>
      <c r="Q392" t="str">
        <f>IF(Table1[[#This Row],[Discount_Applied]]=TRUE,"discount applied","no discount")</f>
        <v>no discount</v>
      </c>
    </row>
    <row r="393" spans="1:17" x14ac:dyDescent="0.3">
      <c r="A393">
        <v>1000000391</v>
      </c>
      <c r="B393" s="1">
        <v>45304.715995370374</v>
      </c>
      <c r="C393" t="s">
        <v>796</v>
      </c>
      <c r="D393" t="s">
        <v>797</v>
      </c>
      <c r="E393">
        <v>6</v>
      </c>
      <c r="F393">
        <v>93.82</v>
      </c>
      <c r="G393" t="s">
        <v>41</v>
      </c>
      <c r="H393" t="s">
        <v>24</v>
      </c>
      <c r="I393" t="s">
        <v>33</v>
      </c>
      <c r="J393" t="b">
        <v>0</v>
      </c>
      <c r="K393" t="s">
        <v>87</v>
      </c>
      <c r="L393" t="s">
        <v>19</v>
      </c>
      <c r="M393" t="s">
        <v>43</v>
      </c>
      <c r="N393">
        <f>YEAR(Table1[[#This Row],[Date]])</f>
        <v>2024</v>
      </c>
      <c r="O393" t="str">
        <f>TEXT(Table1[[#This Row],[Date]],"mmm")</f>
        <v>Jan</v>
      </c>
      <c r="P393" t="str">
        <f>IF(Table1[[#This Row],[Total_Cost]]&lt;25,"low",IF(Table1[[#This Row],[Total_Cost]]&lt;60,"medium","high"))</f>
        <v>high</v>
      </c>
      <c r="Q393" t="str">
        <f>IF(Table1[[#This Row],[Discount_Applied]]=TRUE,"discount applied","no discount")</f>
        <v>no discount</v>
      </c>
    </row>
    <row r="394" spans="1:17" x14ac:dyDescent="0.3">
      <c r="A394">
        <v>1000000392</v>
      </c>
      <c r="B394" s="1">
        <v>44784.229791666665</v>
      </c>
      <c r="C394" t="s">
        <v>798</v>
      </c>
      <c r="D394" t="s">
        <v>487</v>
      </c>
      <c r="E394">
        <v>1</v>
      </c>
      <c r="F394">
        <v>80.959999999999994</v>
      </c>
      <c r="G394" t="s">
        <v>15</v>
      </c>
      <c r="H394" t="s">
        <v>24</v>
      </c>
      <c r="I394" t="s">
        <v>33</v>
      </c>
      <c r="J394" t="b">
        <v>1</v>
      </c>
      <c r="K394" t="s">
        <v>42</v>
      </c>
      <c r="L394" t="s">
        <v>38</v>
      </c>
      <c r="M394" t="s">
        <v>20</v>
      </c>
      <c r="N394">
        <f>YEAR(Table1[[#This Row],[Date]])</f>
        <v>2022</v>
      </c>
      <c r="O394" t="str">
        <f>TEXT(Table1[[#This Row],[Date]],"mmm")</f>
        <v>Aug</v>
      </c>
      <c r="P394" t="str">
        <f>IF(Table1[[#This Row],[Total_Cost]]&lt;25,"low",IF(Table1[[#This Row],[Total_Cost]]&lt;60,"medium","high"))</f>
        <v>high</v>
      </c>
      <c r="Q394" t="str">
        <f>IF(Table1[[#This Row],[Discount_Applied]]=TRUE,"discount applied","no discount")</f>
        <v>discount applied</v>
      </c>
    </row>
    <row r="395" spans="1:17" x14ac:dyDescent="0.3">
      <c r="A395">
        <v>1000000393</v>
      </c>
      <c r="B395" s="1">
        <v>45073.76258101852</v>
      </c>
      <c r="C395" t="s">
        <v>799</v>
      </c>
      <c r="D395" t="s">
        <v>800</v>
      </c>
      <c r="E395">
        <v>2</v>
      </c>
      <c r="F395">
        <v>67.959999999999994</v>
      </c>
      <c r="G395" t="s">
        <v>15</v>
      </c>
      <c r="H395" t="s">
        <v>36</v>
      </c>
      <c r="I395" t="s">
        <v>33</v>
      </c>
      <c r="J395" t="b">
        <v>1</v>
      </c>
      <c r="K395" t="s">
        <v>80</v>
      </c>
      <c r="L395" t="s">
        <v>19</v>
      </c>
      <c r="M395" t="s">
        <v>43</v>
      </c>
      <c r="N395">
        <f>YEAR(Table1[[#This Row],[Date]])</f>
        <v>2023</v>
      </c>
      <c r="O395" t="str">
        <f>TEXT(Table1[[#This Row],[Date]],"mmm")</f>
        <v>May</v>
      </c>
      <c r="P395" t="str">
        <f>IF(Table1[[#This Row],[Total_Cost]]&lt;25,"low",IF(Table1[[#This Row],[Total_Cost]]&lt;60,"medium","high"))</f>
        <v>high</v>
      </c>
      <c r="Q395" t="str">
        <f>IF(Table1[[#This Row],[Discount_Applied]]=TRUE,"discount applied","no discount")</f>
        <v>discount applied</v>
      </c>
    </row>
    <row r="396" spans="1:17" x14ac:dyDescent="0.3">
      <c r="A396">
        <v>1000000394</v>
      </c>
      <c r="B396" s="1">
        <v>44626.63758101852</v>
      </c>
      <c r="C396" t="s">
        <v>801</v>
      </c>
      <c r="D396" t="s">
        <v>802</v>
      </c>
      <c r="E396">
        <v>8</v>
      </c>
      <c r="F396">
        <v>37.94</v>
      </c>
      <c r="G396" t="s">
        <v>23</v>
      </c>
      <c r="H396" t="s">
        <v>50</v>
      </c>
      <c r="I396" t="s">
        <v>46</v>
      </c>
      <c r="J396" t="b">
        <v>0</v>
      </c>
      <c r="K396" t="s">
        <v>87</v>
      </c>
      <c r="L396" t="s">
        <v>38</v>
      </c>
      <c r="M396" t="s">
        <v>43</v>
      </c>
      <c r="N396">
        <f>YEAR(Table1[[#This Row],[Date]])</f>
        <v>2022</v>
      </c>
      <c r="O396" t="str">
        <f>TEXT(Table1[[#This Row],[Date]],"mmm")</f>
        <v>Mar</v>
      </c>
      <c r="P396" t="str">
        <f>IF(Table1[[#This Row],[Total_Cost]]&lt;25,"low",IF(Table1[[#This Row],[Total_Cost]]&lt;60,"medium","high"))</f>
        <v>medium</v>
      </c>
      <c r="Q396" t="str">
        <f>IF(Table1[[#This Row],[Discount_Applied]]=TRUE,"discount applied","no discount")</f>
        <v>no discount</v>
      </c>
    </row>
    <row r="397" spans="1:17" x14ac:dyDescent="0.3">
      <c r="A397">
        <v>1000000395</v>
      </c>
      <c r="B397" s="1">
        <v>44801.192395833335</v>
      </c>
      <c r="C397" t="s">
        <v>803</v>
      </c>
      <c r="D397" t="s">
        <v>804</v>
      </c>
      <c r="E397">
        <v>9</v>
      </c>
      <c r="F397">
        <v>83.46</v>
      </c>
      <c r="G397" t="s">
        <v>15</v>
      </c>
      <c r="H397" t="s">
        <v>24</v>
      </c>
      <c r="I397" t="s">
        <v>37</v>
      </c>
      <c r="J397" t="b">
        <v>0</v>
      </c>
      <c r="K397" t="s">
        <v>26</v>
      </c>
      <c r="L397" t="s">
        <v>38</v>
      </c>
      <c r="M397" t="s">
        <v>28</v>
      </c>
      <c r="N397">
        <f>YEAR(Table1[[#This Row],[Date]])</f>
        <v>2022</v>
      </c>
      <c r="O397" t="str">
        <f>TEXT(Table1[[#This Row],[Date]],"mmm")</f>
        <v>Aug</v>
      </c>
      <c r="P397" t="str">
        <f>IF(Table1[[#This Row],[Total_Cost]]&lt;25,"low",IF(Table1[[#This Row],[Total_Cost]]&lt;60,"medium","high"))</f>
        <v>high</v>
      </c>
      <c r="Q397" t="str">
        <f>IF(Table1[[#This Row],[Discount_Applied]]=TRUE,"discount applied","no discount")</f>
        <v>no discount</v>
      </c>
    </row>
    <row r="398" spans="1:17" x14ac:dyDescent="0.3">
      <c r="A398">
        <v>1000000396</v>
      </c>
      <c r="B398" s="1">
        <v>44134.389224537037</v>
      </c>
      <c r="C398" t="s">
        <v>805</v>
      </c>
      <c r="D398" t="s">
        <v>806</v>
      </c>
      <c r="E398">
        <v>6</v>
      </c>
      <c r="F398">
        <v>70.61</v>
      </c>
      <c r="G398" t="s">
        <v>41</v>
      </c>
      <c r="H398" t="s">
        <v>70</v>
      </c>
      <c r="I398" t="s">
        <v>46</v>
      </c>
      <c r="J398" t="b">
        <v>0</v>
      </c>
      <c r="K398" t="s">
        <v>51</v>
      </c>
      <c r="L398" t="s">
        <v>38</v>
      </c>
      <c r="M398" t="s">
        <v>43</v>
      </c>
      <c r="N398">
        <f>YEAR(Table1[[#This Row],[Date]])</f>
        <v>2020</v>
      </c>
      <c r="O398" t="str">
        <f>TEXT(Table1[[#This Row],[Date]],"mmm")</f>
        <v>Oct</v>
      </c>
      <c r="P398" t="str">
        <f>IF(Table1[[#This Row],[Total_Cost]]&lt;25,"low",IF(Table1[[#This Row],[Total_Cost]]&lt;60,"medium","high"))</f>
        <v>high</v>
      </c>
      <c r="Q398" t="str">
        <f>IF(Table1[[#This Row],[Discount_Applied]]=TRUE,"discount applied","no discount")</f>
        <v>no discount</v>
      </c>
    </row>
    <row r="399" spans="1:17" x14ac:dyDescent="0.3">
      <c r="A399">
        <v>1000000397</v>
      </c>
      <c r="B399" s="1">
        <v>44246.494131944448</v>
      </c>
      <c r="C399" t="s">
        <v>807</v>
      </c>
      <c r="D399" t="s">
        <v>808</v>
      </c>
      <c r="E399">
        <v>9</v>
      </c>
      <c r="F399">
        <v>42.74</v>
      </c>
      <c r="G399" t="s">
        <v>15</v>
      </c>
      <c r="H399" t="s">
        <v>129</v>
      </c>
      <c r="I399" t="s">
        <v>37</v>
      </c>
      <c r="J399" t="b">
        <v>1</v>
      </c>
      <c r="K399" t="s">
        <v>62</v>
      </c>
      <c r="L399" t="s">
        <v>27</v>
      </c>
      <c r="M399" t="s">
        <v>28</v>
      </c>
      <c r="N399">
        <f>YEAR(Table1[[#This Row],[Date]])</f>
        <v>2021</v>
      </c>
      <c r="O399" t="str">
        <f>TEXT(Table1[[#This Row],[Date]],"mmm")</f>
        <v>Feb</v>
      </c>
      <c r="P399" t="str">
        <f>IF(Table1[[#This Row],[Total_Cost]]&lt;25,"low",IF(Table1[[#This Row],[Total_Cost]]&lt;60,"medium","high"))</f>
        <v>medium</v>
      </c>
      <c r="Q399" t="str">
        <f>IF(Table1[[#This Row],[Discount_Applied]]=TRUE,"discount applied","no discount")</f>
        <v>discount applied</v>
      </c>
    </row>
    <row r="400" spans="1:17" x14ac:dyDescent="0.3">
      <c r="A400">
        <v>1000000398</v>
      </c>
      <c r="B400" s="1">
        <v>44962.656030092592</v>
      </c>
      <c r="C400" t="s">
        <v>809</v>
      </c>
      <c r="D400" t="s">
        <v>246</v>
      </c>
      <c r="E400">
        <v>7</v>
      </c>
      <c r="F400">
        <v>93.47</v>
      </c>
      <c r="G400" t="s">
        <v>41</v>
      </c>
      <c r="H400" t="s">
        <v>96</v>
      </c>
      <c r="I400" t="s">
        <v>33</v>
      </c>
      <c r="J400" t="b">
        <v>1</v>
      </c>
      <c r="K400" t="s">
        <v>26</v>
      </c>
      <c r="L400" t="s">
        <v>52</v>
      </c>
      <c r="M400" t="s">
        <v>28</v>
      </c>
      <c r="N400">
        <f>YEAR(Table1[[#This Row],[Date]])</f>
        <v>2023</v>
      </c>
      <c r="O400" t="str">
        <f>TEXT(Table1[[#This Row],[Date]],"mmm")</f>
        <v>Feb</v>
      </c>
      <c r="P400" t="str">
        <f>IF(Table1[[#This Row],[Total_Cost]]&lt;25,"low",IF(Table1[[#This Row],[Total_Cost]]&lt;60,"medium","high"))</f>
        <v>high</v>
      </c>
      <c r="Q400" t="str">
        <f>IF(Table1[[#This Row],[Discount_Applied]]=TRUE,"discount applied","no discount")</f>
        <v>discount applied</v>
      </c>
    </row>
    <row r="401" spans="1:17" x14ac:dyDescent="0.3">
      <c r="A401">
        <v>1000000399</v>
      </c>
      <c r="B401" s="1">
        <v>44798.658842592595</v>
      </c>
      <c r="C401" t="s">
        <v>810</v>
      </c>
      <c r="D401" t="s">
        <v>811</v>
      </c>
      <c r="E401">
        <v>2</v>
      </c>
      <c r="F401">
        <v>12.11</v>
      </c>
      <c r="G401" t="s">
        <v>23</v>
      </c>
      <c r="H401" t="s">
        <v>96</v>
      </c>
      <c r="I401" t="s">
        <v>37</v>
      </c>
      <c r="J401" t="b">
        <v>0</v>
      </c>
      <c r="K401" t="s">
        <v>18</v>
      </c>
      <c r="L401" t="s">
        <v>27</v>
      </c>
      <c r="M401" t="s">
        <v>28</v>
      </c>
      <c r="N401">
        <f>YEAR(Table1[[#This Row],[Date]])</f>
        <v>2022</v>
      </c>
      <c r="O401" t="str">
        <f>TEXT(Table1[[#This Row],[Date]],"mmm")</f>
        <v>Aug</v>
      </c>
      <c r="P401" t="str">
        <f>IF(Table1[[#This Row],[Total_Cost]]&lt;25,"low",IF(Table1[[#This Row],[Total_Cost]]&lt;60,"medium","high"))</f>
        <v>low</v>
      </c>
      <c r="Q401" t="str">
        <f>IF(Table1[[#This Row],[Discount_Applied]]=TRUE,"discount applied","no discount")</f>
        <v>no discount</v>
      </c>
    </row>
    <row r="402" spans="1:17" x14ac:dyDescent="0.3">
      <c r="A402">
        <v>1000000400</v>
      </c>
      <c r="B402" s="1">
        <v>44275.630578703705</v>
      </c>
      <c r="C402" t="s">
        <v>812</v>
      </c>
      <c r="D402" t="s">
        <v>813</v>
      </c>
      <c r="E402">
        <v>10</v>
      </c>
      <c r="F402">
        <v>96.09</v>
      </c>
      <c r="G402" t="s">
        <v>31</v>
      </c>
      <c r="H402" t="s">
        <v>32</v>
      </c>
      <c r="I402" t="s">
        <v>46</v>
      </c>
      <c r="J402" t="b">
        <v>1</v>
      </c>
      <c r="K402" t="s">
        <v>80</v>
      </c>
      <c r="L402" t="s">
        <v>38</v>
      </c>
      <c r="M402" t="s">
        <v>20</v>
      </c>
      <c r="N402">
        <f>YEAR(Table1[[#This Row],[Date]])</f>
        <v>2021</v>
      </c>
      <c r="O402" t="str">
        <f>TEXT(Table1[[#This Row],[Date]],"mmm")</f>
        <v>Mar</v>
      </c>
      <c r="P402" t="str">
        <f>IF(Table1[[#This Row],[Total_Cost]]&lt;25,"low",IF(Table1[[#This Row],[Total_Cost]]&lt;60,"medium","high"))</f>
        <v>high</v>
      </c>
      <c r="Q402" t="str">
        <f>IF(Table1[[#This Row],[Discount_Applied]]=TRUE,"discount applied","no discount")</f>
        <v>discount applied</v>
      </c>
    </row>
    <row r="403" spans="1:17" x14ac:dyDescent="0.3">
      <c r="A403">
        <v>1000000401</v>
      </c>
      <c r="B403" s="1">
        <v>44080.25409722222</v>
      </c>
      <c r="C403" t="s">
        <v>814</v>
      </c>
      <c r="D403" t="s">
        <v>815</v>
      </c>
      <c r="E403">
        <v>9</v>
      </c>
      <c r="F403">
        <v>27.43</v>
      </c>
      <c r="G403" t="s">
        <v>31</v>
      </c>
      <c r="H403" t="s">
        <v>24</v>
      </c>
      <c r="I403" t="s">
        <v>46</v>
      </c>
      <c r="J403" t="b">
        <v>0</v>
      </c>
      <c r="K403" t="s">
        <v>87</v>
      </c>
      <c r="L403" t="s">
        <v>19</v>
      </c>
      <c r="M403" t="s">
        <v>28</v>
      </c>
      <c r="N403">
        <f>YEAR(Table1[[#This Row],[Date]])</f>
        <v>2020</v>
      </c>
      <c r="O403" t="str">
        <f>TEXT(Table1[[#This Row],[Date]],"mmm")</f>
        <v>Sep</v>
      </c>
      <c r="P403" t="str">
        <f>IF(Table1[[#This Row],[Total_Cost]]&lt;25,"low",IF(Table1[[#This Row],[Total_Cost]]&lt;60,"medium","high"))</f>
        <v>medium</v>
      </c>
      <c r="Q403" t="str">
        <f>IF(Table1[[#This Row],[Discount_Applied]]=TRUE,"discount applied","no discount")</f>
        <v>no discount</v>
      </c>
    </row>
    <row r="404" spans="1:17" x14ac:dyDescent="0.3">
      <c r="A404">
        <v>1000000402</v>
      </c>
      <c r="B404" s="1">
        <v>44058.908067129632</v>
      </c>
      <c r="C404" t="s">
        <v>816</v>
      </c>
      <c r="D404" t="s">
        <v>499</v>
      </c>
      <c r="E404">
        <v>3</v>
      </c>
      <c r="F404">
        <v>48.89</v>
      </c>
      <c r="G404" t="s">
        <v>31</v>
      </c>
      <c r="H404" t="s">
        <v>36</v>
      </c>
      <c r="I404" t="s">
        <v>33</v>
      </c>
      <c r="J404" t="b">
        <v>0</v>
      </c>
      <c r="K404" t="s">
        <v>62</v>
      </c>
      <c r="L404" t="s">
        <v>38</v>
      </c>
      <c r="M404" t="s">
        <v>20</v>
      </c>
      <c r="N404">
        <f>YEAR(Table1[[#This Row],[Date]])</f>
        <v>2020</v>
      </c>
      <c r="O404" t="str">
        <f>TEXT(Table1[[#This Row],[Date]],"mmm")</f>
        <v>Aug</v>
      </c>
      <c r="P404" t="str">
        <f>IF(Table1[[#This Row],[Total_Cost]]&lt;25,"low",IF(Table1[[#This Row],[Total_Cost]]&lt;60,"medium","high"))</f>
        <v>medium</v>
      </c>
      <c r="Q404" t="str">
        <f>IF(Table1[[#This Row],[Discount_Applied]]=TRUE,"discount applied","no discount")</f>
        <v>no discount</v>
      </c>
    </row>
    <row r="405" spans="1:17" x14ac:dyDescent="0.3">
      <c r="A405">
        <v>1000000403</v>
      </c>
      <c r="B405" s="1">
        <v>43926.172708333332</v>
      </c>
      <c r="C405" t="s">
        <v>817</v>
      </c>
      <c r="D405" t="s">
        <v>818</v>
      </c>
      <c r="E405">
        <v>3</v>
      </c>
      <c r="F405">
        <v>58.34</v>
      </c>
      <c r="G405" t="s">
        <v>31</v>
      </c>
      <c r="H405" t="s">
        <v>32</v>
      </c>
      <c r="I405" t="s">
        <v>17</v>
      </c>
      <c r="J405" t="b">
        <v>1</v>
      </c>
      <c r="K405" t="s">
        <v>42</v>
      </c>
      <c r="L405" t="s">
        <v>38</v>
      </c>
      <c r="M405" t="s">
        <v>28</v>
      </c>
      <c r="N405">
        <f>YEAR(Table1[[#This Row],[Date]])</f>
        <v>2020</v>
      </c>
      <c r="O405" t="str">
        <f>TEXT(Table1[[#This Row],[Date]],"mmm")</f>
        <v>Apr</v>
      </c>
      <c r="P405" t="str">
        <f>IF(Table1[[#This Row],[Total_Cost]]&lt;25,"low",IF(Table1[[#This Row],[Total_Cost]]&lt;60,"medium","high"))</f>
        <v>medium</v>
      </c>
      <c r="Q405" t="str">
        <f>IF(Table1[[#This Row],[Discount_Applied]]=TRUE,"discount applied","no discount")</f>
        <v>discount applied</v>
      </c>
    </row>
    <row r="406" spans="1:17" x14ac:dyDescent="0.3">
      <c r="A406">
        <v>1000000404</v>
      </c>
      <c r="B406" s="1">
        <v>44314.548090277778</v>
      </c>
      <c r="C406" t="s">
        <v>819</v>
      </c>
      <c r="D406" t="s">
        <v>161</v>
      </c>
      <c r="E406">
        <v>2</v>
      </c>
      <c r="F406">
        <v>13.42</v>
      </c>
      <c r="G406" t="s">
        <v>15</v>
      </c>
      <c r="H406" t="s">
        <v>16</v>
      </c>
      <c r="I406" t="s">
        <v>46</v>
      </c>
      <c r="J406" t="b">
        <v>1</v>
      </c>
      <c r="K406" t="s">
        <v>47</v>
      </c>
      <c r="L406" t="s">
        <v>27</v>
      </c>
      <c r="M406" t="s">
        <v>20</v>
      </c>
      <c r="N406">
        <f>YEAR(Table1[[#This Row],[Date]])</f>
        <v>2021</v>
      </c>
      <c r="O406" t="str">
        <f>TEXT(Table1[[#This Row],[Date]],"mmm")</f>
        <v>Apr</v>
      </c>
      <c r="P406" t="str">
        <f>IF(Table1[[#This Row],[Total_Cost]]&lt;25,"low",IF(Table1[[#This Row],[Total_Cost]]&lt;60,"medium","high"))</f>
        <v>low</v>
      </c>
      <c r="Q406" t="str">
        <f>IF(Table1[[#This Row],[Discount_Applied]]=TRUE,"discount applied","no discount")</f>
        <v>discount applied</v>
      </c>
    </row>
    <row r="407" spans="1:17" x14ac:dyDescent="0.3">
      <c r="A407">
        <v>1000000405</v>
      </c>
      <c r="B407" s="1">
        <v>44818.305960648147</v>
      </c>
      <c r="C407" t="s">
        <v>820</v>
      </c>
      <c r="D407" t="s">
        <v>250</v>
      </c>
      <c r="E407">
        <v>7</v>
      </c>
      <c r="F407">
        <v>10.64</v>
      </c>
      <c r="G407" t="s">
        <v>23</v>
      </c>
      <c r="H407" t="s">
        <v>32</v>
      </c>
      <c r="I407" t="s">
        <v>25</v>
      </c>
      <c r="J407" t="b">
        <v>1</v>
      </c>
      <c r="K407" t="s">
        <v>62</v>
      </c>
      <c r="L407" t="s">
        <v>52</v>
      </c>
      <c r="M407" t="s">
        <v>43</v>
      </c>
      <c r="N407">
        <f>YEAR(Table1[[#This Row],[Date]])</f>
        <v>2022</v>
      </c>
      <c r="O407" t="str">
        <f>TEXT(Table1[[#This Row],[Date]],"mmm")</f>
        <v>Sep</v>
      </c>
      <c r="P407" t="str">
        <f>IF(Table1[[#This Row],[Total_Cost]]&lt;25,"low",IF(Table1[[#This Row],[Total_Cost]]&lt;60,"medium","high"))</f>
        <v>low</v>
      </c>
      <c r="Q407" t="str">
        <f>IF(Table1[[#This Row],[Discount_Applied]]=TRUE,"discount applied","no discount")</f>
        <v>discount applied</v>
      </c>
    </row>
    <row r="408" spans="1:17" x14ac:dyDescent="0.3">
      <c r="A408">
        <v>1000000406</v>
      </c>
      <c r="B408" s="1">
        <v>44821.603333333333</v>
      </c>
      <c r="C408" t="s">
        <v>821</v>
      </c>
      <c r="D408" t="s">
        <v>822</v>
      </c>
      <c r="E408">
        <v>9</v>
      </c>
      <c r="F408">
        <v>84.6</v>
      </c>
      <c r="G408" t="s">
        <v>41</v>
      </c>
      <c r="H408" t="s">
        <v>77</v>
      </c>
      <c r="I408" t="s">
        <v>59</v>
      </c>
      <c r="J408" t="b">
        <v>0</v>
      </c>
      <c r="K408" t="s">
        <v>87</v>
      </c>
      <c r="L408" t="s">
        <v>19</v>
      </c>
      <c r="M408" t="s">
        <v>43</v>
      </c>
      <c r="N408">
        <f>YEAR(Table1[[#This Row],[Date]])</f>
        <v>2022</v>
      </c>
      <c r="O408" t="str">
        <f>TEXT(Table1[[#This Row],[Date]],"mmm")</f>
        <v>Sep</v>
      </c>
      <c r="P408" t="str">
        <f>IF(Table1[[#This Row],[Total_Cost]]&lt;25,"low",IF(Table1[[#This Row],[Total_Cost]]&lt;60,"medium","high"))</f>
        <v>high</v>
      </c>
      <c r="Q408" t="str">
        <f>IF(Table1[[#This Row],[Discount_Applied]]=TRUE,"discount applied","no discount")</f>
        <v>no discount</v>
      </c>
    </row>
    <row r="409" spans="1:17" x14ac:dyDescent="0.3">
      <c r="A409">
        <v>1000000407</v>
      </c>
      <c r="B409" s="1">
        <v>44096.471122685187</v>
      </c>
      <c r="C409" t="s">
        <v>823</v>
      </c>
      <c r="D409" t="s">
        <v>824</v>
      </c>
      <c r="E409">
        <v>7</v>
      </c>
      <c r="F409">
        <v>30.16</v>
      </c>
      <c r="G409" t="s">
        <v>41</v>
      </c>
      <c r="H409" t="s">
        <v>32</v>
      </c>
      <c r="I409" t="s">
        <v>17</v>
      </c>
      <c r="J409" t="b">
        <v>0</v>
      </c>
      <c r="K409" t="s">
        <v>42</v>
      </c>
      <c r="L409" t="s">
        <v>38</v>
      </c>
      <c r="M409" t="s">
        <v>28</v>
      </c>
      <c r="N409">
        <f>YEAR(Table1[[#This Row],[Date]])</f>
        <v>2020</v>
      </c>
      <c r="O409" t="str">
        <f>TEXT(Table1[[#This Row],[Date]],"mmm")</f>
        <v>Sep</v>
      </c>
      <c r="P409" t="str">
        <f>IF(Table1[[#This Row],[Total_Cost]]&lt;25,"low",IF(Table1[[#This Row],[Total_Cost]]&lt;60,"medium","high"))</f>
        <v>medium</v>
      </c>
      <c r="Q409" t="str">
        <f>IF(Table1[[#This Row],[Discount_Applied]]=TRUE,"discount applied","no discount")</f>
        <v>no discount</v>
      </c>
    </row>
    <row r="410" spans="1:17" x14ac:dyDescent="0.3">
      <c r="A410">
        <v>1000000408</v>
      </c>
      <c r="B410" s="1">
        <v>44155.710011574076</v>
      </c>
      <c r="C410" t="s">
        <v>825</v>
      </c>
      <c r="D410" t="s">
        <v>826</v>
      </c>
      <c r="E410">
        <v>1</v>
      </c>
      <c r="F410">
        <v>92.09</v>
      </c>
      <c r="G410" t="s">
        <v>41</v>
      </c>
      <c r="H410" t="s">
        <v>36</v>
      </c>
      <c r="I410" t="s">
        <v>17</v>
      </c>
      <c r="J410" t="b">
        <v>1</v>
      </c>
      <c r="K410" t="s">
        <v>87</v>
      </c>
      <c r="L410" t="s">
        <v>38</v>
      </c>
      <c r="M410" t="s">
        <v>43</v>
      </c>
      <c r="N410">
        <f>YEAR(Table1[[#This Row],[Date]])</f>
        <v>2020</v>
      </c>
      <c r="O410" t="str">
        <f>TEXT(Table1[[#This Row],[Date]],"mmm")</f>
        <v>Nov</v>
      </c>
      <c r="P410" t="str">
        <f>IF(Table1[[#This Row],[Total_Cost]]&lt;25,"low",IF(Table1[[#This Row],[Total_Cost]]&lt;60,"medium","high"))</f>
        <v>high</v>
      </c>
      <c r="Q410" t="str">
        <f>IF(Table1[[#This Row],[Discount_Applied]]=TRUE,"discount applied","no discount")</f>
        <v>discount applied</v>
      </c>
    </row>
    <row r="411" spans="1:17" x14ac:dyDescent="0.3">
      <c r="A411">
        <v>1000000409</v>
      </c>
      <c r="B411" s="1">
        <v>44391.287743055553</v>
      </c>
      <c r="C411" t="s">
        <v>827</v>
      </c>
      <c r="D411" t="s">
        <v>828</v>
      </c>
      <c r="E411">
        <v>7</v>
      </c>
      <c r="F411">
        <v>83.24</v>
      </c>
      <c r="G411" t="s">
        <v>41</v>
      </c>
      <c r="H411" t="s">
        <v>96</v>
      </c>
      <c r="I411" t="s">
        <v>59</v>
      </c>
      <c r="J411" t="b">
        <v>1</v>
      </c>
      <c r="K411" t="s">
        <v>80</v>
      </c>
      <c r="L411" t="s">
        <v>27</v>
      </c>
      <c r="M411" t="s">
        <v>43</v>
      </c>
      <c r="N411">
        <f>YEAR(Table1[[#This Row],[Date]])</f>
        <v>2021</v>
      </c>
      <c r="O411" t="str">
        <f>TEXT(Table1[[#This Row],[Date]],"mmm")</f>
        <v>Jul</v>
      </c>
      <c r="P411" t="str">
        <f>IF(Table1[[#This Row],[Total_Cost]]&lt;25,"low",IF(Table1[[#This Row],[Total_Cost]]&lt;60,"medium","high"))</f>
        <v>high</v>
      </c>
      <c r="Q411" t="str">
        <f>IF(Table1[[#This Row],[Discount_Applied]]=TRUE,"discount applied","no discount")</f>
        <v>discount applied</v>
      </c>
    </row>
    <row r="412" spans="1:17" x14ac:dyDescent="0.3">
      <c r="A412">
        <v>1000000410</v>
      </c>
      <c r="B412" s="1">
        <v>43945.747627314813</v>
      </c>
      <c r="C412" t="s">
        <v>829</v>
      </c>
      <c r="D412" t="s">
        <v>830</v>
      </c>
      <c r="E412">
        <v>9</v>
      </c>
      <c r="F412">
        <v>24.26</v>
      </c>
      <c r="G412" t="s">
        <v>41</v>
      </c>
      <c r="H412" t="s">
        <v>65</v>
      </c>
      <c r="I412" t="s">
        <v>59</v>
      </c>
      <c r="J412" t="b">
        <v>1</v>
      </c>
      <c r="K412" t="s">
        <v>18</v>
      </c>
      <c r="L412" t="s">
        <v>27</v>
      </c>
      <c r="M412" t="s">
        <v>20</v>
      </c>
      <c r="N412">
        <f>YEAR(Table1[[#This Row],[Date]])</f>
        <v>2020</v>
      </c>
      <c r="O412" t="str">
        <f>TEXT(Table1[[#This Row],[Date]],"mmm")</f>
        <v>Apr</v>
      </c>
      <c r="P412" t="str">
        <f>IF(Table1[[#This Row],[Total_Cost]]&lt;25,"low",IF(Table1[[#This Row],[Total_Cost]]&lt;60,"medium","high"))</f>
        <v>low</v>
      </c>
      <c r="Q412" t="str">
        <f>IF(Table1[[#This Row],[Discount_Applied]]=TRUE,"discount applied","no discount")</f>
        <v>discount applied</v>
      </c>
    </row>
    <row r="413" spans="1:17" x14ac:dyDescent="0.3">
      <c r="A413">
        <v>1000000411</v>
      </c>
      <c r="B413" s="1">
        <v>44030.758229166669</v>
      </c>
      <c r="C413" t="s">
        <v>831</v>
      </c>
      <c r="D413" t="s">
        <v>832</v>
      </c>
      <c r="E413">
        <v>2</v>
      </c>
      <c r="F413">
        <v>52.49</v>
      </c>
      <c r="G413" t="s">
        <v>15</v>
      </c>
      <c r="H413" t="s">
        <v>65</v>
      </c>
      <c r="I413" t="s">
        <v>25</v>
      </c>
      <c r="J413" t="b">
        <v>1</v>
      </c>
      <c r="K413" t="s">
        <v>51</v>
      </c>
      <c r="L413" t="s">
        <v>52</v>
      </c>
      <c r="M413" t="s">
        <v>20</v>
      </c>
      <c r="N413">
        <f>YEAR(Table1[[#This Row],[Date]])</f>
        <v>2020</v>
      </c>
      <c r="O413" t="str">
        <f>TEXT(Table1[[#This Row],[Date]],"mmm")</f>
        <v>Jul</v>
      </c>
      <c r="P413" t="str">
        <f>IF(Table1[[#This Row],[Total_Cost]]&lt;25,"low",IF(Table1[[#This Row],[Total_Cost]]&lt;60,"medium","high"))</f>
        <v>medium</v>
      </c>
      <c r="Q413" t="str">
        <f>IF(Table1[[#This Row],[Discount_Applied]]=TRUE,"discount applied","no discount")</f>
        <v>discount applied</v>
      </c>
    </row>
    <row r="414" spans="1:17" x14ac:dyDescent="0.3">
      <c r="A414">
        <v>1000000412</v>
      </c>
      <c r="B414" s="1">
        <v>44328.060659722221</v>
      </c>
      <c r="C414" t="s">
        <v>833</v>
      </c>
      <c r="D414" t="s">
        <v>834</v>
      </c>
      <c r="E414">
        <v>7</v>
      </c>
      <c r="F414">
        <v>9.6</v>
      </c>
      <c r="G414" t="s">
        <v>31</v>
      </c>
      <c r="H414" t="s">
        <v>16</v>
      </c>
      <c r="I414" t="s">
        <v>25</v>
      </c>
      <c r="J414" t="b">
        <v>1</v>
      </c>
      <c r="K414" t="s">
        <v>47</v>
      </c>
      <c r="L414" t="s">
        <v>27</v>
      </c>
      <c r="M414" t="s">
        <v>43</v>
      </c>
      <c r="N414">
        <f>YEAR(Table1[[#This Row],[Date]])</f>
        <v>2021</v>
      </c>
      <c r="O414" t="str">
        <f>TEXT(Table1[[#This Row],[Date]],"mmm")</f>
        <v>May</v>
      </c>
      <c r="P414" t="str">
        <f>IF(Table1[[#This Row],[Total_Cost]]&lt;25,"low",IF(Table1[[#This Row],[Total_Cost]]&lt;60,"medium","high"))</f>
        <v>low</v>
      </c>
      <c r="Q414" t="str">
        <f>IF(Table1[[#This Row],[Discount_Applied]]=TRUE,"discount applied","no discount")</f>
        <v>discount applied</v>
      </c>
    </row>
    <row r="415" spans="1:17" x14ac:dyDescent="0.3">
      <c r="A415">
        <v>1000000413</v>
      </c>
      <c r="B415" s="1">
        <v>44967.905347222222</v>
      </c>
      <c r="C415" t="s">
        <v>835</v>
      </c>
      <c r="D415" t="s">
        <v>836</v>
      </c>
      <c r="E415">
        <v>3</v>
      </c>
      <c r="F415">
        <v>86.06</v>
      </c>
      <c r="G415" t="s">
        <v>41</v>
      </c>
      <c r="H415" t="s">
        <v>50</v>
      </c>
      <c r="I415" t="s">
        <v>17</v>
      </c>
      <c r="J415" t="b">
        <v>0</v>
      </c>
      <c r="K415" t="s">
        <v>26</v>
      </c>
      <c r="L415" t="s">
        <v>38</v>
      </c>
      <c r="M415" t="s">
        <v>28</v>
      </c>
      <c r="N415">
        <f>YEAR(Table1[[#This Row],[Date]])</f>
        <v>2023</v>
      </c>
      <c r="O415" t="str">
        <f>TEXT(Table1[[#This Row],[Date]],"mmm")</f>
        <v>Feb</v>
      </c>
      <c r="P415" t="str">
        <f>IF(Table1[[#This Row],[Total_Cost]]&lt;25,"low",IF(Table1[[#This Row],[Total_Cost]]&lt;60,"medium","high"))</f>
        <v>high</v>
      </c>
      <c r="Q415" t="str">
        <f>IF(Table1[[#This Row],[Discount_Applied]]=TRUE,"discount applied","no discount")</f>
        <v>no discount</v>
      </c>
    </row>
    <row r="416" spans="1:17" x14ac:dyDescent="0.3">
      <c r="A416">
        <v>1000000414</v>
      </c>
      <c r="B416" s="1">
        <v>45384.301469907405</v>
      </c>
      <c r="C416" t="s">
        <v>837</v>
      </c>
      <c r="D416" t="s">
        <v>838</v>
      </c>
      <c r="E416">
        <v>3</v>
      </c>
      <c r="F416">
        <v>19.45</v>
      </c>
      <c r="G416" t="s">
        <v>31</v>
      </c>
      <c r="H416" t="s">
        <v>70</v>
      </c>
      <c r="I416" t="s">
        <v>33</v>
      </c>
      <c r="J416" t="b">
        <v>0</v>
      </c>
      <c r="K416" t="s">
        <v>87</v>
      </c>
      <c r="L416" t="s">
        <v>19</v>
      </c>
      <c r="M416" t="s">
        <v>43</v>
      </c>
      <c r="N416">
        <f>YEAR(Table1[[#This Row],[Date]])</f>
        <v>2024</v>
      </c>
      <c r="O416" t="str">
        <f>TEXT(Table1[[#This Row],[Date]],"mmm")</f>
        <v>Apr</v>
      </c>
      <c r="P416" t="str">
        <f>IF(Table1[[#This Row],[Total_Cost]]&lt;25,"low",IF(Table1[[#This Row],[Total_Cost]]&lt;60,"medium","high"))</f>
        <v>low</v>
      </c>
      <c r="Q416" t="str">
        <f>IF(Table1[[#This Row],[Discount_Applied]]=TRUE,"discount applied","no discount")</f>
        <v>no discount</v>
      </c>
    </row>
    <row r="417" spans="1:17" x14ac:dyDescent="0.3">
      <c r="A417">
        <v>1000000415</v>
      </c>
      <c r="B417" s="1">
        <v>44516.245069444441</v>
      </c>
      <c r="C417" t="s">
        <v>839</v>
      </c>
      <c r="D417" t="s">
        <v>840</v>
      </c>
      <c r="E417">
        <v>7</v>
      </c>
      <c r="F417">
        <v>50.27</v>
      </c>
      <c r="G417" t="s">
        <v>41</v>
      </c>
      <c r="H417" t="s">
        <v>36</v>
      </c>
      <c r="I417" t="s">
        <v>46</v>
      </c>
      <c r="J417" t="b">
        <v>1</v>
      </c>
      <c r="K417" t="s">
        <v>18</v>
      </c>
      <c r="L417" t="s">
        <v>52</v>
      </c>
      <c r="M417" t="s">
        <v>28</v>
      </c>
      <c r="N417">
        <f>YEAR(Table1[[#This Row],[Date]])</f>
        <v>2021</v>
      </c>
      <c r="O417" t="str">
        <f>TEXT(Table1[[#This Row],[Date]],"mmm")</f>
        <v>Nov</v>
      </c>
      <c r="P417" t="str">
        <f>IF(Table1[[#This Row],[Total_Cost]]&lt;25,"low",IF(Table1[[#This Row],[Total_Cost]]&lt;60,"medium","high"))</f>
        <v>medium</v>
      </c>
      <c r="Q417" t="str">
        <f>IF(Table1[[#This Row],[Discount_Applied]]=TRUE,"discount applied","no discount")</f>
        <v>discount applied</v>
      </c>
    </row>
    <row r="418" spans="1:17" x14ac:dyDescent="0.3">
      <c r="A418">
        <v>1000000416</v>
      </c>
      <c r="B418" s="1">
        <v>45121.491967592592</v>
      </c>
      <c r="C418" t="s">
        <v>841</v>
      </c>
      <c r="D418" t="s">
        <v>842</v>
      </c>
      <c r="E418">
        <v>5</v>
      </c>
      <c r="F418">
        <v>86.89</v>
      </c>
      <c r="G418" t="s">
        <v>23</v>
      </c>
      <c r="H418" t="s">
        <v>32</v>
      </c>
      <c r="I418" t="s">
        <v>33</v>
      </c>
      <c r="J418" t="b">
        <v>0</v>
      </c>
      <c r="K418" t="s">
        <v>62</v>
      </c>
      <c r="L418" t="s">
        <v>27</v>
      </c>
      <c r="M418" t="s">
        <v>20</v>
      </c>
      <c r="N418">
        <f>YEAR(Table1[[#This Row],[Date]])</f>
        <v>2023</v>
      </c>
      <c r="O418" t="str">
        <f>TEXT(Table1[[#This Row],[Date]],"mmm")</f>
        <v>Jul</v>
      </c>
      <c r="P418" t="str">
        <f>IF(Table1[[#This Row],[Total_Cost]]&lt;25,"low",IF(Table1[[#This Row],[Total_Cost]]&lt;60,"medium","high"))</f>
        <v>high</v>
      </c>
      <c r="Q418" t="str">
        <f>IF(Table1[[#This Row],[Discount_Applied]]=TRUE,"discount applied","no discount")</f>
        <v>no discount</v>
      </c>
    </row>
    <row r="419" spans="1:17" x14ac:dyDescent="0.3">
      <c r="A419">
        <v>1000000417</v>
      </c>
      <c r="B419" s="1">
        <v>44191.462962962964</v>
      </c>
      <c r="C419" t="s">
        <v>843</v>
      </c>
      <c r="D419" t="s">
        <v>844</v>
      </c>
      <c r="E419">
        <v>9</v>
      </c>
      <c r="F419">
        <v>90.44</v>
      </c>
      <c r="G419" t="s">
        <v>31</v>
      </c>
      <c r="H419" t="s">
        <v>24</v>
      </c>
      <c r="I419" t="s">
        <v>46</v>
      </c>
      <c r="J419" t="b">
        <v>0</v>
      </c>
      <c r="K419" t="s">
        <v>62</v>
      </c>
      <c r="L419" t="s">
        <v>38</v>
      </c>
      <c r="M419" t="s">
        <v>43</v>
      </c>
      <c r="N419">
        <f>YEAR(Table1[[#This Row],[Date]])</f>
        <v>2020</v>
      </c>
      <c r="O419" t="str">
        <f>TEXT(Table1[[#This Row],[Date]],"mmm")</f>
        <v>Dec</v>
      </c>
      <c r="P419" t="str">
        <f>IF(Table1[[#This Row],[Total_Cost]]&lt;25,"low",IF(Table1[[#This Row],[Total_Cost]]&lt;60,"medium","high"))</f>
        <v>high</v>
      </c>
      <c r="Q419" t="str">
        <f>IF(Table1[[#This Row],[Discount_Applied]]=TRUE,"discount applied","no discount")</f>
        <v>no discount</v>
      </c>
    </row>
    <row r="420" spans="1:17" x14ac:dyDescent="0.3">
      <c r="A420">
        <v>1000000418</v>
      </c>
      <c r="B420" s="1">
        <v>44498.950949074075</v>
      </c>
      <c r="C420" t="s">
        <v>845</v>
      </c>
      <c r="D420" t="s">
        <v>846</v>
      </c>
      <c r="E420">
        <v>5</v>
      </c>
      <c r="F420">
        <v>50.88</v>
      </c>
      <c r="G420" t="s">
        <v>23</v>
      </c>
      <c r="H420" t="s">
        <v>70</v>
      </c>
      <c r="I420" t="s">
        <v>33</v>
      </c>
      <c r="J420" t="b">
        <v>0</v>
      </c>
      <c r="K420" t="s">
        <v>62</v>
      </c>
      <c r="L420" t="s">
        <v>27</v>
      </c>
      <c r="M420" t="s">
        <v>20</v>
      </c>
      <c r="N420">
        <f>YEAR(Table1[[#This Row],[Date]])</f>
        <v>2021</v>
      </c>
      <c r="O420" t="str">
        <f>TEXT(Table1[[#This Row],[Date]],"mmm")</f>
        <v>Oct</v>
      </c>
      <c r="P420" t="str">
        <f>IF(Table1[[#This Row],[Total_Cost]]&lt;25,"low",IF(Table1[[#This Row],[Total_Cost]]&lt;60,"medium","high"))</f>
        <v>medium</v>
      </c>
      <c r="Q420" t="str">
        <f>IF(Table1[[#This Row],[Discount_Applied]]=TRUE,"discount applied","no discount")</f>
        <v>no discount</v>
      </c>
    </row>
    <row r="421" spans="1:17" x14ac:dyDescent="0.3">
      <c r="A421">
        <v>1000000419</v>
      </c>
      <c r="B421" s="1">
        <v>45157.347719907404</v>
      </c>
      <c r="C421" t="s">
        <v>847</v>
      </c>
      <c r="D421" t="s">
        <v>848</v>
      </c>
      <c r="E421">
        <v>2</v>
      </c>
      <c r="F421">
        <v>82.17</v>
      </c>
      <c r="G421" t="s">
        <v>31</v>
      </c>
      <c r="H421" t="s">
        <v>32</v>
      </c>
      <c r="I421" t="s">
        <v>25</v>
      </c>
      <c r="J421" t="b">
        <v>0</v>
      </c>
      <c r="K421" t="s">
        <v>62</v>
      </c>
      <c r="L421" t="s">
        <v>52</v>
      </c>
      <c r="M421" t="s">
        <v>20</v>
      </c>
      <c r="N421">
        <f>YEAR(Table1[[#This Row],[Date]])</f>
        <v>2023</v>
      </c>
      <c r="O421" t="str">
        <f>TEXT(Table1[[#This Row],[Date]],"mmm")</f>
        <v>Aug</v>
      </c>
      <c r="P421" t="str">
        <f>IF(Table1[[#This Row],[Total_Cost]]&lt;25,"low",IF(Table1[[#This Row],[Total_Cost]]&lt;60,"medium","high"))</f>
        <v>high</v>
      </c>
      <c r="Q421" t="str">
        <f>IF(Table1[[#This Row],[Discount_Applied]]=TRUE,"discount applied","no discount")</f>
        <v>no discount</v>
      </c>
    </row>
    <row r="422" spans="1:17" x14ac:dyDescent="0.3">
      <c r="A422">
        <v>1000000420</v>
      </c>
      <c r="B422" s="1">
        <v>45101.654988425929</v>
      </c>
      <c r="C422" t="s">
        <v>849</v>
      </c>
      <c r="D422" t="s">
        <v>228</v>
      </c>
      <c r="E422">
        <v>3</v>
      </c>
      <c r="F422">
        <v>70.209999999999994</v>
      </c>
      <c r="G422" t="s">
        <v>15</v>
      </c>
      <c r="H422" t="s">
        <v>32</v>
      </c>
      <c r="I422" t="s">
        <v>59</v>
      </c>
      <c r="J422" t="b">
        <v>0</v>
      </c>
      <c r="K422" t="s">
        <v>80</v>
      </c>
      <c r="L422" t="s">
        <v>38</v>
      </c>
      <c r="M422" t="s">
        <v>28</v>
      </c>
      <c r="N422">
        <f>YEAR(Table1[[#This Row],[Date]])</f>
        <v>2023</v>
      </c>
      <c r="O422" t="str">
        <f>TEXT(Table1[[#This Row],[Date]],"mmm")</f>
        <v>Jun</v>
      </c>
      <c r="P422" t="str">
        <f>IF(Table1[[#This Row],[Total_Cost]]&lt;25,"low",IF(Table1[[#This Row],[Total_Cost]]&lt;60,"medium","high"))</f>
        <v>high</v>
      </c>
      <c r="Q422" t="str">
        <f>IF(Table1[[#This Row],[Discount_Applied]]=TRUE,"discount applied","no discount")</f>
        <v>no discount</v>
      </c>
    </row>
    <row r="423" spans="1:17" x14ac:dyDescent="0.3">
      <c r="A423">
        <v>1000000421</v>
      </c>
      <c r="B423" s="1">
        <v>45198.648969907408</v>
      </c>
      <c r="C423" t="s">
        <v>850</v>
      </c>
      <c r="D423" t="s">
        <v>851</v>
      </c>
      <c r="E423">
        <v>4</v>
      </c>
      <c r="F423">
        <v>88.19</v>
      </c>
      <c r="G423" t="s">
        <v>41</v>
      </c>
      <c r="H423" t="s">
        <v>50</v>
      </c>
      <c r="I423" t="s">
        <v>25</v>
      </c>
      <c r="J423" t="b">
        <v>1</v>
      </c>
      <c r="K423" t="s">
        <v>80</v>
      </c>
      <c r="L423" t="s">
        <v>52</v>
      </c>
      <c r="M423" t="s">
        <v>28</v>
      </c>
      <c r="N423">
        <f>YEAR(Table1[[#This Row],[Date]])</f>
        <v>2023</v>
      </c>
      <c r="O423" t="str">
        <f>TEXT(Table1[[#This Row],[Date]],"mmm")</f>
        <v>Sep</v>
      </c>
      <c r="P423" t="str">
        <f>IF(Table1[[#This Row],[Total_Cost]]&lt;25,"low",IF(Table1[[#This Row],[Total_Cost]]&lt;60,"medium","high"))</f>
        <v>high</v>
      </c>
      <c r="Q423" t="str">
        <f>IF(Table1[[#This Row],[Discount_Applied]]=TRUE,"discount applied","no discount")</f>
        <v>discount applied</v>
      </c>
    </row>
    <row r="424" spans="1:17" x14ac:dyDescent="0.3">
      <c r="A424">
        <v>1000000422</v>
      </c>
      <c r="B424" s="1">
        <v>44355.041608796295</v>
      </c>
      <c r="C424" t="s">
        <v>852</v>
      </c>
      <c r="D424" t="s">
        <v>853</v>
      </c>
      <c r="E424">
        <v>3</v>
      </c>
      <c r="F424">
        <v>13.44</v>
      </c>
      <c r="G424" t="s">
        <v>23</v>
      </c>
      <c r="H424" t="s">
        <v>96</v>
      </c>
      <c r="I424" t="s">
        <v>33</v>
      </c>
      <c r="J424" t="b">
        <v>1</v>
      </c>
      <c r="K424" t="s">
        <v>42</v>
      </c>
      <c r="L424" t="s">
        <v>27</v>
      </c>
      <c r="M424" t="s">
        <v>20</v>
      </c>
      <c r="N424">
        <f>YEAR(Table1[[#This Row],[Date]])</f>
        <v>2021</v>
      </c>
      <c r="O424" t="str">
        <f>TEXT(Table1[[#This Row],[Date]],"mmm")</f>
        <v>Jun</v>
      </c>
      <c r="P424" t="str">
        <f>IF(Table1[[#This Row],[Total_Cost]]&lt;25,"low",IF(Table1[[#This Row],[Total_Cost]]&lt;60,"medium","high"))</f>
        <v>low</v>
      </c>
      <c r="Q424" t="str">
        <f>IF(Table1[[#This Row],[Discount_Applied]]=TRUE,"discount applied","no discount")</f>
        <v>discount applied</v>
      </c>
    </row>
    <row r="425" spans="1:17" x14ac:dyDescent="0.3">
      <c r="A425">
        <v>1000000423</v>
      </c>
      <c r="B425" s="1">
        <v>45003.223275462966</v>
      </c>
      <c r="C425" t="s">
        <v>854</v>
      </c>
      <c r="D425" t="s">
        <v>855</v>
      </c>
      <c r="E425">
        <v>5</v>
      </c>
      <c r="F425">
        <v>68.37</v>
      </c>
      <c r="G425" t="s">
        <v>41</v>
      </c>
      <c r="H425" t="s">
        <v>96</v>
      </c>
      <c r="I425" t="s">
        <v>59</v>
      </c>
      <c r="J425" t="b">
        <v>0</v>
      </c>
      <c r="K425" t="s">
        <v>26</v>
      </c>
      <c r="L425" t="s">
        <v>38</v>
      </c>
      <c r="M425" t="s">
        <v>20</v>
      </c>
      <c r="N425">
        <f>YEAR(Table1[[#This Row],[Date]])</f>
        <v>2023</v>
      </c>
      <c r="O425" t="str">
        <f>TEXT(Table1[[#This Row],[Date]],"mmm")</f>
        <v>Mar</v>
      </c>
      <c r="P425" t="str">
        <f>IF(Table1[[#This Row],[Total_Cost]]&lt;25,"low",IF(Table1[[#This Row],[Total_Cost]]&lt;60,"medium","high"))</f>
        <v>high</v>
      </c>
      <c r="Q425" t="str">
        <f>IF(Table1[[#This Row],[Discount_Applied]]=TRUE,"discount applied","no discount")</f>
        <v>no discount</v>
      </c>
    </row>
    <row r="426" spans="1:17" x14ac:dyDescent="0.3">
      <c r="A426">
        <v>1000000424</v>
      </c>
      <c r="B426" s="1">
        <v>43983.88175925926</v>
      </c>
      <c r="C426" t="s">
        <v>856</v>
      </c>
      <c r="D426" t="s">
        <v>857</v>
      </c>
      <c r="E426">
        <v>8</v>
      </c>
      <c r="F426">
        <v>24.17</v>
      </c>
      <c r="G426" t="s">
        <v>15</v>
      </c>
      <c r="H426" t="s">
        <v>96</v>
      </c>
      <c r="I426" t="s">
        <v>17</v>
      </c>
      <c r="J426" t="b">
        <v>1</v>
      </c>
      <c r="K426" t="s">
        <v>80</v>
      </c>
      <c r="L426" t="s">
        <v>19</v>
      </c>
      <c r="M426" t="s">
        <v>43</v>
      </c>
      <c r="N426">
        <f>YEAR(Table1[[#This Row],[Date]])</f>
        <v>2020</v>
      </c>
      <c r="O426" t="str">
        <f>TEXT(Table1[[#This Row],[Date]],"mmm")</f>
        <v>Jun</v>
      </c>
      <c r="P426" t="str">
        <f>IF(Table1[[#This Row],[Total_Cost]]&lt;25,"low",IF(Table1[[#This Row],[Total_Cost]]&lt;60,"medium","high"))</f>
        <v>low</v>
      </c>
      <c r="Q426" t="str">
        <f>IF(Table1[[#This Row],[Discount_Applied]]=TRUE,"discount applied","no discount")</f>
        <v>discount applied</v>
      </c>
    </row>
    <row r="427" spans="1:17" x14ac:dyDescent="0.3">
      <c r="A427">
        <v>1000000425</v>
      </c>
      <c r="B427" s="1">
        <v>45271.987546296295</v>
      </c>
      <c r="C427" t="s">
        <v>858</v>
      </c>
      <c r="D427" t="s">
        <v>859</v>
      </c>
      <c r="E427">
        <v>3</v>
      </c>
      <c r="F427">
        <v>19.690000000000001</v>
      </c>
      <c r="G427" t="s">
        <v>15</v>
      </c>
      <c r="H427" t="s">
        <v>96</v>
      </c>
      <c r="I427" t="s">
        <v>37</v>
      </c>
      <c r="J427" t="b">
        <v>0</v>
      </c>
      <c r="K427" t="s">
        <v>51</v>
      </c>
      <c r="L427" t="s">
        <v>19</v>
      </c>
      <c r="M427" t="s">
        <v>20</v>
      </c>
      <c r="N427">
        <f>YEAR(Table1[[#This Row],[Date]])</f>
        <v>2023</v>
      </c>
      <c r="O427" t="str">
        <f>TEXT(Table1[[#This Row],[Date]],"mmm")</f>
        <v>Dec</v>
      </c>
      <c r="P427" t="str">
        <f>IF(Table1[[#This Row],[Total_Cost]]&lt;25,"low",IF(Table1[[#This Row],[Total_Cost]]&lt;60,"medium","high"))</f>
        <v>low</v>
      </c>
      <c r="Q427" t="str">
        <f>IF(Table1[[#This Row],[Discount_Applied]]=TRUE,"discount applied","no discount")</f>
        <v>no discount</v>
      </c>
    </row>
    <row r="428" spans="1:17" x14ac:dyDescent="0.3">
      <c r="A428">
        <v>1000000426</v>
      </c>
      <c r="B428" s="1">
        <v>44073.055300925924</v>
      </c>
      <c r="C428" t="s">
        <v>860</v>
      </c>
      <c r="D428" t="s">
        <v>861</v>
      </c>
      <c r="E428">
        <v>9</v>
      </c>
      <c r="F428">
        <v>27.71</v>
      </c>
      <c r="G428" t="s">
        <v>41</v>
      </c>
      <c r="H428" t="s">
        <v>129</v>
      </c>
      <c r="I428" t="s">
        <v>25</v>
      </c>
      <c r="J428" t="b">
        <v>1</v>
      </c>
      <c r="K428" t="s">
        <v>51</v>
      </c>
      <c r="L428" t="s">
        <v>27</v>
      </c>
      <c r="M428" t="s">
        <v>20</v>
      </c>
      <c r="N428">
        <f>YEAR(Table1[[#This Row],[Date]])</f>
        <v>2020</v>
      </c>
      <c r="O428" t="str">
        <f>TEXT(Table1[[#This Row],[Date]],"mmm")</f>
        <v>Aug</v>
      </c>
      <c r="P428" t="str">
        <f>IF(Table1[[#This Row],[Total_Cost]]&lt;25,"low",IF(Table1[[#This Row],[Total_Cost]]&lt;60,"medium","high"))</f>
        <v>medium</v>
      </c>
      <c r="Q428" t="str">
        <f>IF(Table1[[#This Row],[Discount_Applied]]=TRUE,"discount applied","no discount")</f>
        <v>discount applied</v>
      </c>
    </row>
    <row r="429" spans="1:17" x14ac:dyDescent="0.3">
      <c r="A429">
        <v>1000000427</v>
      </c>
      <c r="B429" s="1">
        <v>44900.297986111109</v>
      </c>
      <c r="C429" t="s">
        <v>640</v>
      </c>
      <c r="D429" t="s">
        <v>862</v>
      </c>
      <c r="E429">
        <v>7</v>
      </c>
      <c r="F429">
        <v>39.32</v>
      </c>
      <c r="G429" t="s">
        <v>41</v>
      </c>
      <c r="H429" t="s">
        <v>50</v>
      </c>
      <c r="I429" t="s">
        <v>25</v>
      </c>
      <c r="J429" t="b">
        <v>1</v>
      </c>
      <c r="K429" t="s">
        <v>47</v>
      </c>
      <c r="L429" t="s">
        <v>38</v>
      </c>
      <c r="M429" t="s">
        <v>28</v>
      </c>
      <c r="N429">
        <f>YEAR(Table1[[#This Row],[Date]])</f>
        <v>2022</v>
      </c>
      <c r="O429" t="str">
        <f>TEXT(Table1[[#This Row],[Date]],"mmm")</f>
        <v>Dec</v>
      </c>
      <c r="P429" t="str">
        <f>IF(Table1[[#This Row],[Total_Cost]]&lt;25,"low",IF(Table1[[#This Row],[Total_Cost]]&lt;60,"medium","high"))</f>
        <v>medium</v>
      </c>
      <c r="Q429" t="str">
        <f>IF(Table1[[#This Row],[Discount_Applied]]=TRUE,"discount applied","no discount")</f>
        <v>discount applied</v>
      </c>
    </row>
    <row r="430" spans="1:17" x14ac:dyDescent="0.3">
      <c r="A430">
        <v>1000000428</v>
      </c>
      <c r="B430" s="1">
        <v>44668.177719907406</v>
      </c>
      <c r="C430" t="s">
        <v>863</v>
      </c>
      <c r="D430" t="s">
        <v>499</v>
      </c>
      <c r="E430">
        <v>8</v>
      </c>
      <c r="F430">
        <v>90.66</v>
      </c>
      <c r="G430" t="s">
        <v>23</v>
      </c>
      <c r="H430" t="s">
        <v>16</v>
      </c>
      <c r="I430" t="s">
        <v>25</v>
      </c>
      <c r="J430" t="b">
        <v>1</v>
      </c>
      <c r="K430" t="s">
        <v>51</v>
      </c>
      <c r="L430" t="s">
        <v>27</v>
      </c>
      <c r="M430" t="s">
        <v>20</v>
      </c>
      <c r="N430">
        <f>YEAR(Table1[[#This Row],[Date]])</f>
        <v>2022</v>
      </c>
      <c r="O430" t="str">
        <f>TEXT(Table1[[#This Row],[Date]],"mmm")</f>
        <v>Apr</v>
      </c>
      <c r="P430" t="str">
        <f>IF(Table1[[#This Row],[Total_Cost]]&lt;25,"low",IF(Table1[[#This Row],[Total_Cost]]&lt;60,"medium","high"))</f>
        <v>high</v>
      </c>
      <c r="Q430" t="str">
        <f>IF(Table1[[#This Row],[Discount_Applied]]=TRUE,"discount applied","no discount")</f>
        <v>discount applied</v>
      </c>
    </row>
    <row r="431" spans="1:17" x14ac:dyDescent="0.3">
      <c r="A431">
        <v>1000000429</v>
      </c>
      <c r="B431" s="1">
        <v>44864.561562499999</v>
      </c>
      <c r="C431" t="s">
        <v>864</v>
      </c>
      <c r="D431" t="s">
        <v>865</v>
      </c>
      <c r="E431">
        <v>4</v>
      </c>
      <c r="F431">
        <v>58.1</v>
      </c>
      <c r="G431" t="s">
        <v>41</v>
      </c>
      <c r="H431" t="s">
        <v>50</v>
      </c>
      <c r="I431" t="s">
        <v>17</v>
      </c>
      <c r="J431" t="b">
        <v>0</v>
      </c>
      <c r="K431" t="s">
        <v>42</v>
      </c>
      <c r="L431" t="s">
        <v>19</v>
      </c>
      <c r="M431" t="s">
        <v>43</v>
      </c>
      <c r="N431">
        <f>YEAR(Table1[[#This Row],[Date]])</f>
        <v>2022</v>
      </c>
      <c r="O431" t="str">
        <f>TEXT(Table1[[#This Row],[Date]],"mmm")</f>
        <v>Oct</v>
      </c>
      <c r="P431" t="str">
        <f>IF(Table1[[#This Row],[Total_Cost]]&lt;25,"low",IF(Table1[[#This Row],[Total_Cost]]&lt;60,"medium","high"))</f>
        <v>medium</v>
      </c>
      <c r="Q431" t="str">
        <f>IF(Table1[[#This Row],[Discount_Applied]]=TRUE,"discount applied","no discount")</f>
        <v>no discount</v>
      </c>
    </row>
    <row r="432" spans="1:17" x14ac:dyDescent="0.3">
      <c r="A432">
        <v>1000000430</v>
      </c>
      <c r="B432" s="1">
        <v>43850.978530092594</v>
      </c>
      <c r="C432" t="s">
        <v>866</v>
      </c>
      <c r="D432" t="s">
        <v>867</v>
      </c>
      <c r="E432">
        <v>8</v>
      </c>
      <c r="F432">
        <v>10.01</v>
      </c>
      <c r="G432" t="s">
        <v>41</v>
      </c>
      <c r="H432" t="s">
        <v>36</v>
      </c>
      <c r="I432" t="s">
        <v>33</v>
      </c>
      <c r="J432" t="b">
        <v>1</v>
      </c>
      <c r="K432" t="s">
        <v>26</v>
      </c>
      <c r="L432" t="s">
        <v>27</v>
      </c>
      <c r="M432" t="s">
        <v>43</v>
      </c>
      <c r="N432">
        <f>YEAR(Table1[[#This Row],[Date]])</f>
        <v>2020</v>
      </c>
      <c r="O432" t="str">
        <f>TEXT(Table1[[#This Row],[Date]],"mmm")</f>
        <v>Jan</v>
      </c>
      <c r="P432" t="str">
        <f>IF(Table1[[#This Row],[Total_Cost]]&lt;25,"low",IF(Table1[[#This Row],[Total_Cost]]&lt;60,"medium","high"))</f>
        <v>low</v>
      </c>
      <c r="Q432" t="str">
        <f>IF(Table1[[#This Row],[Discount_Applied]]=TRUE,"discount applied","no discount")</f>
        <v>discount applied</v>
      </c>
    </row>
    <row r="433" spans="1:17" x14ac:dyDescent="0.3">
      <c r="A433">
        <v>1000000431</v>
      </c>
      <c r="B433" s="1">
        <v>45070.285428240742</v>
      </c>
      <c r="C433" t="s">
        <v>868</v>
      </c>
      <c r="D433" t="s">
        <v>869</v>
      </c>
      <c r="E433">
        <v>3</v>
      </c>
      <c r="F433">
        <v>54.84</v>
      </c>
      <c r="G433" t="s">
        <v>23</v>
      </c>
      <c r="H433" t="s">
        <v>65</v>
      </c>
      <c r="I433" t="s">
        <v>59</v>
      </c>
      <c r="J433" t="b">
        <v>0</v>
      </c>
      <c r="K433" t="s">
        <v>80</v>
      </c>
      <c r="L433" t="s">
        <v>19</v>
      </c>
      <c r="M433" t="s">
        <v>28</v>
      </c>
      <c r="N433">
        <f>YEAR(Table1[[#This Row],[Date]])</f>
        <v>2023</v>
      </c>
      <c r="O433" t="str">
        <f>TEXT(Table1[[#This Row],[Date]],"mmm")</f>
        <v>May</v>
      </c>
      <c r="P433" t="str">
        <f>IF(Table1[[#This Row],[Total_Cost]]&lt;25,"low",IF(Table1[[#This Row],[Total_Cost]]&lt;60,"medium","high"))</f>
        <v>medium</v>
      </c>
      <c r="Q433" t="str">
        <f>IF(Table1[[#This Row],[Discount_Applied]]=TRUE,"discount applied","no discount")</f>
        <v>no discount</v>
      </c>
    </row>
    <row r="434" spans="1:17" x14ac:dyDescent="0.3">
      <c r="A434">
        <v>1000000432</v>
      </c>
      <c r="B434" s="1">
        <v>45041.004513888889</v>
      </c>
      <c r="C434" t="s">
        <v>870</v>
      </c>
      <c r="D434" t="s">
        <v>871</v>
      </c>
      <c r="E434">
        <v>8</v>
      </c>
      <c r="F434">
        <v>80.58</v>
      </c>
      <c r="G434" t="s">
        <v>15</v>
      </c>
      <c r="H434" t="s">
        <v>16</v>
      </c>
      <c r="I434" t="s">
        <v>33</v>
      </c>
      <c r="J434" t="b">
        <v>0</v>
      </c>
      <c r="K434" t="s">
        <v>42</v>
      </c>
      <c r="L434" t="s">
        <v>38</v>
      </c>
      <c r="M434" t="s">
        <v>28</v>
      </c>
      <c r="N434">
        <f>YEAR(Table1[[#This Row],[Date]])</f>
        <v>2023</v>
      </c>
      <c r="O434" t="str">
        <f>TEXT(Table1[[#This Row],[Date]],"mmm")</f>
        <v>Apr</v>
      </c>
      <c r="P434" t="str">
        <f>IF(Table1[[#This Row],[Total_Cost]]&lt;25,"low",IF(Table1[[#This Row],[Total_Cost]]&lt;60,"medium","high"))</f>
        <v>high</v>
      </c>
      <c r="Q434" t="str">
        <f>IF(Table1[[#This Row],[Discount_Applied]]=TRUE,"discount applied","no discount")</f>
        <v>no discount</v>
      </c>
    </row>
    <row r="435" spans="1:17" x14ac:dyDescent="0.3">
      <c r="A435">
        <v>1000000433</v>
      </c>
      <c r="B435" s="1">
        <v>45193.060868055552</v>
      </c>
      <c r="C435" t="s">
        <v>872</v>
      </c>
      <c r="D435" t="s">
        <v>873</v>
      </c>
      <c r="E435">
        <v>2</v>
      </c>
      <c r="F435">
        <v>93.23</v>
      </c>
      <c r="G435" t="s">
        <v>23</v>
      </c>
      <c r="H435" t="s">
        <v>129</v>
      </c>
      <c r="I435" t="s">
        <v>46</v>
      </c>
      <c r="J435" t="b">
        <v>0</v>
      </c>
      <c r="K435" t="s">
        <v>42</v>
      </c>
      <c r="L435" t="s">
        <v>27</v>
      </c>
      <c r="M435" t="s">
        <v>28</v>
      </c>
      <c r="N435">
        <f>YEAR(Table1[[#This Row],[Date]])</f>
        <v>2023</v>
      </c>
      <c r="O435" t="str">
        <f>TEXT(Table1[[#This Row],[Date]],"mmm")</f>
        <v>Sep</v>
      </c>
      <c r="P435" t="str">
        <f>IF(Table1[[#This Row],[Total_Cost]]&lt;25,"low",IF(Table1[[#This Row],[Total_Cost]]&lt;60,"medium","high"))</f>
        <v>high</v>
      </c>
      <c r="Q435" t="str">
        <f>IF(Table1[[#This Row],[Discount_Applied]]=TRUE,"discount applied","no discount")</f>
        <v>no discount</v>
      </c>
    </row>
    <row r="436" spans="1:17" x14ac:dyDescent="0.3">
      <c r="A436">
        <v>1000000434</v>
      </c>
      <c r="B436" s="1">
        <v>44993.430034722223</v>
      </c>
      <c r="C436" t="s">
        <v>874</v>
      </c>
      <c r="D436" t="s">
        <v>875</v>
      </c>
      <c r="E436">
        <v>7</v>
      </c>
      <c r="F436">
        <v>17.5</v>
      </c>
      <c r="G436" t="s">
        <v>23</v>
      </c>
      <c r="H436" t="s">
        <v>50</v>
      </c>
      <c r="I436" t="s">
        <v>37</v>
      </c>
      <c r="J436" t="b">
        <v>1</v>
      </c>
      <c r="K436" t="s">
        <v>51</v>
      </c>
      <c r="L436" t="s">
        <v>52</v>
      </c>
      <c r="M436" t="s">
        <v>20</v>
      </c>
      <c r="N436">
        <f>YEAR(Table1[[#This Row],[Date]])</f>
        <v>2023</v>
      </c>
      <c r="O436" t="str">
        <f>TEXT(Table1[[#This Row],[Date]],"mmm")</f>
        <v>Mar</v>
      </c>
      <c r="P436" t="str">
        <f>IF(Table1[[#This Row],[Total_Cost]]&lt;25,"low",IF(Table1[[#This Row],[Total_Cost]]&lt;60,"medium","high"))</f>
        <v>low</v>
      </c>
      <c r="Q436" t="str">
        <f>IF(Table1[[#This Row],[Discount_Applied]]=TRUE,"discount applied","no discount")</f>
        <v>discount applied</v>
      </c>
    </row>
    <row r="437" spans="1:17" x14ac:dyDescent="0.3">
      <c r="A437">
        <v>1000000435</v>
      </c>
      <c r="B437" s="1">
        <v>44171.260949074072</v>
      </c>
      <c r="C437" t="s">
        <v>876</v>
      </c>
      <c r="D437" t="s">
        <v>877</v>
      </c>
      <c r="E437">
        <v>1</v>
      </c>
      <c r="F437">
        <v>13.97</v>
      </c>
      <c r="G437" t="s">
        <v>15</v>
      </c>
      <c r="H437" t="s">
        <v>77</v>
      </c>
      <c r="I437" t="s">
        <v>33</v>
      </c>
      <c r="J437" t="b">
        <v>0</v>
      </c>
      <c r="K437" t="s">
        <v>18</v>
      </c>
      <c r="L437" t="s">
        <v>38</v>
      </c>
      <c r="M437" t="s">
        <v>20</v>
      </c>
      <c r="N437">
        <f>YEAR(Table1[[#This Row],[Date]])</f>
        <v>2020</v>
      </c>
      <c r="O437" t="str">
        <f>TEXT(Table1[[#This Row],[Date]],"mmm")</f>
        <v>Dec</v>
      </c>
      <c r="P437" t="str">
        <f>IF(Table1[[#This Row],[Total_Cost]]&lt;25,"low",IF(Table1[[#This Row],[Total_Cost]]&lt;60,"medium","high"))</f>
        <v>low</v>
      </c>
      <c r="Q437" t="str">
        <f>IF(Table1[[#This Row],[Discount_Applied]]=TRUE,"discount applied","no discount")</f>
        <v>no discount</v>
      </c>
    </row>
    <row r="438" spans="1:17" x14ac:dyDescent="0.3">
      <c r="A438">
        <v>1000000436</v>
      </c>
      <c r="B438" s="1">
        <v>44460.522256944445</v>
      </c>
      <c r="C438" t="s">
        <v>878</v>
      </c>
      <c r="D438" t="s">
        <v>56</v>
      </c>
      <c r="E438">
        <v>4</v>
      </c>
      <c r="F438">
        <v>89.88</v>
      </c>
      <c r="G438" t="s">
        <v>41</v>
      </c>
      <c r="H438" t="s">
        <v>77</v>
      </c>
      <c r="I438" t="s">
        <v>33</v>
      </c>
      <c r="J438" t="b">
        <v>1</v>
      </c>
      <c r="K438" t="s">
        <v>80</v>
      </c>
      <c r="L438" t="s">
        <v>27</v>
      </c>
      <c r="M438" t="s">
        <v>20</v>
      </c>
      <c r="N438">
        <f>YEAR(Table1[[#This Row],[Date]])</f>
        <v>2021</v>
      </c>
      <c r="O438" t="str">
        <f>TEXT(Table1[[#This Row],[Date]],"mmm")</f>
        <v>Sep</v>
      </c>
      <c r="P438" t="str">
        <f>IF(Table1[[#This Row],[Total_Cost]]&lt;25,"low",IF(Table1[[#This Row],[Total_Cost]]&lt;60,"medium","high"))</f>
        <v>high</v>
      </c>
      <c r="Q438" t="str">
        <f>IF(Table1[[#This Row],[Discount_Applied]]=TRUE,"discount applied","no discount")</f>
        <v>discount applied</v>
      </c>
    </row>
    <row r="439" spans="1:17" x14ac:dyDescent="0.3">
      <c r="A439">
        <v>1000000437</v>
      </c>
      <c r="B439" s="1">
        <v>43836.447789351849</v>
      </c>
      <c r="C439" t="s">
        <v>879</v>
      </c>
      <c r="D439" t="s">
        <v>880</v>
      </c>
      <c r="E439">
        <v>9</v>
      </c>
      <c r="F439">
        <v>50.01</v>
      </c>
      <c r="G439" t="s">
        <v>23</v>
      </c>
      <c r="H439" t="s">
        <v>36</v>
      </c>
      <c r="I439" t="s">
        <v>37</v>
      </c>
      <c r="J439" t="b">
        <v>0</v>
      </c>
      <c r="K439" t="s">
        <v>51</v>
      </c>
      <c r="L439" t="s">
        <v>19</v>
      </c>
      <c r="M439" t="s">
        <v>20</v>
      </c>
      <c r="N439">
        <f>YEAR(Table1[[#This Row],[Date]])</f>
        <v>2020</v>
      </c>
      <c r="O439" t="str">
        <f>TEXT(Table1[[#This Row],[Date]],"mmm")</f>
        <v>Jan</v>
      </c>
      <c r="P439" t="str">
        <f>IF(Table1[[#This Row],[Total_Cost]]&lt;25,"low",IF(Table1[[#This Row],[Total_Cost]]&lt;60,"medium","high"))</f>
        <v>medium</v>
      </c>
      <c r="Q439" t="str">
        <f>IF(Table1[[#This Row],[Discount_Applied]]=TRUE,"discount applied","no discount")</f>
        <v>no discount</v>
      </c>
    </row>
    <row r="440" spans="1:17" x14ac:dyDescent="0.3">
      <c r="A440">
        <v>1000000438</v>
      </c>
      <c r="B440" s="1">
        <v>43997.34039351852</v>
      </c>
      <c r="C440" t="s">
        <v>881</v>
      </c>
      <c r="D440" t="s">
        <v>882</v>
      </c>
      <c r="E440">
        <v>1</v>
      </c>
      <c r="F440">
        <v>59.04</v>
      </c>
      <c r="G440" t="s">
        <v>15</v>
      </c>
      <c r="H440" t="s">
        <v>36</v>
      </c>
      <c r="I440" t="s">
        <v>17</v>
      </c>
      <c r="J440" t="b">
        <v>0</v>
      </c>
      <c r="K440" t="s">
        <v>51</v>
      </c>
      <c r="L440" t="s">
        <v>27</v>
      </c>
      <c r="M440" t="s">
        <v>43</v>
      </c>
      <c r="N440">
        <f>YEAR(Table1[[#This Row],[Date]])</f>
        <v>2020</v>
      </c>
      <c r="O440" t="str">
        <f>TEXT(Table1[[#This Row],[Date]],"mmm")</f>
        <v>Jun</v>
      </c>
      <c r="P440" t="str">
        <f>IF(Table1[[#This Row],[Total_Cost]]&lt;25,"low",IF(Table1[[#This Row],[Total_Cost]]&lt;60,"medium","high"))</f>
        <v>medium</v>
      </c>
      <c r="Q440" t="str">
        <f>IF(Table1[[#This Row],[Discount_Applied]]=TRUE,"discount applied","no discount")</f>
        <v>no discount</v>
      </c>
    </row>
    <row r="441" spans="1:17" x14ac:dyDescent="0.3">
      <c r="A441">
        <v>1000000439</v>
      </c>
      <c r="B441" s="1">
        <v>45270.15929398148</v>
      </c>
      <c r="C441" t="s">
        <v>883</v>
      </c>
      <c r="D441" t="s">
        <v>884</v>
      </c>
      <c r="E441">
        <v>6</v>
      </c>
      <c r="F441">
        <v>5.78</v>
      </c>
      <c r="G441" t="s">
        <v>15</v>
      </c>
      <c r="H441" t="s">
        <v>129</v>
      </c>
      <c r="I441" t="s">
        <v>59</v>
      </c>
      <c r="J441" t="b">
        <v>0</v>
      </c>
      <c r="K441" t="s">
        <v>47</v>
      </c>
      <c r="L441" t="s">
        <v>52</v>
      </c>
      <c r="M441" t="s">
        <v>43</v>
      </c>
      <c r="N441">
        <f>YEAR(Table1[[#This Row],[Date]])</f>
        <v>2023</v>
      </c>
      <c r="O441" t="str">
        <f>TEXT(Table1[[#This Row],[Date]],"mmm")</f>
        <v>Dec</v>
      </c>
      <c r="P441" t="str">
        <f>IF(Table1[[#This Row],[Total_Cost]]&lt;25,"low",IF(Table1[[#This Row],[Total_Cost]]&lt;60,"medium","high"))</f>
        <v>low</v>
      </c>
      <c r="Q441" t="str">
        <f>IF(Table1[[#This Row],[Discount_Applied]]=TRUE,"discount applied","no discount")</f>
        <v>no discount</v>
      </c>
    </row>
    <row r="442" spans="1:17" x14ac:dyDescent="0.3">
      <c r="A442">
        <v>1000000440</v>
      </c>
      <c r="B442" s="1">
        <v>44682.462557870371</v>
      </c>
      <c r="C442" t="s">
        <v>885</v>
      </c>
      <c r="D442" t="s">
        <v>886</v>
      </c>
      <c r="E442">
        <v>6</v>
      </c>
      <c r="F442">
        <v>89.88</v>
      </c>
      <c r="G442" t="s">
        <v>41</v>
      </c>
      <c r="H442" t="s">
        <v>24</v>
      </c>
      <c r="I442" t="s">
        <v>59</v>
      </c>
      <c r="J442" t="b">
        <v>0</v>
      </c>
      <c r="K442" t="s">
        <v>47</v>
      </c>
      <c r="L442" t="s">
        <v>27</v>
      </c>
      <c r="M442" t="s">
        <v>43</v>
      </c>
      <c r="N442">
        <f>YEAR(Table1[[#This Row],[Date]])</f>
        <v>2022</v>
      </c>
      <c r="O442" t="str">
        <f>TEXT(Table1[[#This Row],[Date]],"mmm")</f>
        <v>May</v>
      </c>
      <c r="P442" t="str">
        <f>IF(Table1[[#This Row],[Total_Cost]]&lt;25,"low",IF(Table1[[#This Row],[Total_Cost]]&lt;60,"medium","high"))</f>
        <v>high</v>
      </c>
      <c r="Q442" t="str">
        <f>IF(Table1[[#This Row],[Discount_Applied]]=TRUE,"discount applied","no discount")</f>
        <v>no discount</v>
      </c>
    </row>
    <row r="443" spans="1:17" x14ac:dyDescent="0.3">
      <c r="A443">
        <v>1000000441</v>
      </c>
      <c r="B443" s="1">
        <v>44740.66778935185</v>
      </c>
      <c r="C443" t="s">
        <v>887</v>
      </c>
      <c r="D443" t="s">
        <v>888</v>
      </c>
      <c r="E443">
        <v>1</v>
      </c>
      <c r="F443">
        <v>12.66</v>
      </c>
      <c r="G443" t="s">
        <v>15</v>
      </c>
      <c r="H443" t="s">
        <v>129</v>
      </c>
      <c r="I443" t="s">
        <v>59</v>
      </c>
      <c r="J443" t="b">
        <v>1</v>
      </c>
      <c r="K443" t="s">
        <v>47</v>
      </c>
      <c r="L443" t="s">
        <v>19</v>
      </c>
      <c r="M443" t="s">
        <v>28</v>
      </c>
      <c r="N443">
        <f>YEAR(Table1[[#This Row],[Date]])</f>
        <v>2022</v>
      </c>
      <c r="O443" t="str">
        <f>TEXT(Table1[[#This Row],[Date]],"mmm")</f>
        <v>Jun</v>
      </c>
      <c r="P443" t="str">
        <f>IF(Table1[[#This Row],[Total_Cost]]&lt;25,"low",IF(Table1[[#This Row],[Total_Cost]]&lt;60,"medium","high"))</f>
        <v>low</v>
      </c>
      <c r="Q443" t="str">
        <f>IF(Table1[[#This Row],[Discount_Applied]]=TRUE,"discount applied","no discount")</f>
        <v>discount applied</v>
      </c>
    </row>
    <row r="444" spans="1:17" x14ac:dyDescent="0.3">
      <c r="A444">
        <v>1000000442</v>
      </c>
      <c r="B444" s="1">
        <v>44535.852280092593</v>
      </c>
      <c r="C444" t="s">
        <v>889</v>
      </c>
      <c r="D444" t="s">
        <v>226</v>
      </c>
      <c r="E444">
        <v>8</v>
      </c>
      <c r="F444">
        <v>78.09</v>
      </c>
      <c r="G444" t="s">
        <v>31</v>
      </c>
      <c r="H444" t="s">
        <v>32</v>
      </c>
      <c r="I444" t="s">
        <v>17</v>
      </c>
      <c r="J444" t="b">
        <v>0</v>
      </c>
      <c r="K444" t="s">
        <v>51</v>
      </c>
      <c r="L444" t="s">
        <v>27</v>
      </c>
      <c r="M444" t="s">
        <v>43</v>
      </c>
      <c r="N444">
        <f>YEAR(Table1[[#This Row],[Date]])</f>
        <v>2021</v>
      </c>
      <c r="O444" t="str">
        <f>TEXT(Table1[[#This Row],[Date]],"mmm")</f>
        <v>Dec</v>
      </c>
      <c r="P444" t="str">
        <f>IF(Table1[[#This Row],[Total_Cost]]&lt;25,"low",IF(Table1[[#This Row],[Total_Cost]]&lt;60,"medium","high"))</f>
        <v>high</v>
      </c>
      <c r="Q444" t="str">
        <f>IF(Table1[[#This Row],[Discount_Applied]]=TRUE,"discount applied","no discount")</f>
        <v>no discount</v>
      </c>
    </row>
    <row r="445" spans="1:17" x14ac:dyDescent="0.3">
      <c r="A445">
        <v>1000000443</v>
      </c>
      <c r="B445" s="1">
        <v>45390.404594907406</v>
      </c>
      <c r="C445" t="s">
        <v>890</v>
      </c>
      <c r="D445" t="s">
        <v>891</v>
      </c>
      <c r="E445">
        <v>1</v>
      </c>
      <c r="F445">
        <v>68.209999999999994</v>
      </c>
      <c r="G445" t="s">
        <v>23</v>
      </c>
      <c r="H445" t="s">
        <v>36</v>
      </c>
      <c r="I445" t="s">
        <v>46</v>
      </c>
      <c r="J445" t="b">
        <v>1</v>
      </c>
      <c r="K445" t="s">
        <v>51</v>
      </c>
      <c r="L445" t="s">
        <v>52</v>
      </c>
      <c r="M445" t="s">
        <v>28</v>
      </c>
      <c r="N445">
        <f>YEAR(Table1[[#This Row],[Date]])</f>
        <v>2024</v>
      </c>
      <c r="O445" t="str">
        <f>TEXT(Table1[[#This Row],[Date]],"mmm")</f>
        <v>Apr</v>
      </c>
      <c r="P445" t="str">
        <f>IF(Table1[[#This Row],[Total_Cost]]&lt;25,"low",IF(Table1[[#This Row],[Total_Cost]]&lt;60,"medium","high"))</f>
        <v>high</v>
      </c>
      <c r="Q445" t="str">
        <f>IF(Table1[[#This Row],[Discount_Applied]]=TRUE,"discount applied","no discount")</f>
        <v>discount applied</v>
      </c>
    </row>
    <row r="446" spans="1:17" x14ac:dyDescent="0.3">
      <c r="A446">
        <v>1000000444</v>
      </c>
      <c r="B446" s="1">
        <v>43872.736458333333</v>
      </c>
      <c r="C446" t="s">
        <v>892</v>
      </c>
      <c r="D446" t="s">
        <v>893</v>
      </c>
      <c r="E446">
        <v>6</v>
      </c>
      <c r="F446">
        <v>71.260000000000005</v>
      </c>
      <c r="G446" t="s">
        <v>31</v>
      </c>
      <c r="H446" t="s">
        <v>50</v>
      </c>
      <c r="I446" t="s">
        <v>46</v>
      </c>
      <c r="J446" t="b">
        <v>0</v>
      </c>
      <c r="K446" t="s">
        <v>62</v>
      </c>
      <c r="L446" t="s">
        <v>19</v>
      </c>
      <c r="M446" t="s">
        <v>28</v>
      </c>
      <c r="N446">
        <f>YEAR(Table1[[#This Row],[Date]])</f>
        <v>2020</v>
      </c>
      <c r="O446" t="str">
        <f>TEXT(Table1[[#This Row],[Date]],"mmm")</f>
        <v>Feb</v>
      </c>
      <c r="P446" t="str">
        <f>IF(Table1[[#This Row],[Total_Cost]]&lt;25,"low",IF(Table1[[#This Row],[Total_Cost]]&lt;60,"medium","high"))</f>
        <v>high</v>
      </c>
      <c r="Q446" t="str">
        <f>IF(Table1[[#This Row],[Discount_Applied]]=TRUE,"discount applied","no discount")</f>
        <v>no discount</v>
      </c>
    </row>
    <row r="447" spans="1:17" x14ac:dyDescent="0.3">
      <c r="A447">
        <v>1000000445</v>
      </c>
      <c r="B447" s="1">
        <v>44713.0781712963</v>
      </c>
      <c r="C447" t="s">
        <v>894</v>
      </c>
      <c r="D447" t="s">
        <v>895</v>
      </c>
      <c r="E447">
        <v>9</v>
      </c>
      <c r="F447">
        <v>97.06</v>
      </c>
      <c r="G447" t="s">
        <v>23</v>
      </c>
      <c r="H447" t="s">
        <v>129</v>
      </c>
      <c r="I447" t="s">
        <v>25</v>
      </c>
      <c r="J447" t="b">
        <v>0</v>
      </c>
      <c r="K447" t="s">
        <v>80</v>
      </c>
      <c r="L447" t="s">
        <v>19</v>
      </c>
      <c r="M447" t="s">
        <v>28</v>
      </c>
      <c r="N447">
        <f>YEAR(Table1[[#This Row],[Date]])</f>
        <v>2022</v>
      </c>
      <c r="O447" t="str">
        <f>TEXT(Table1[[#This Row],[Date]],"mmm")</f>
        <v>Jun</v>
      </c>
      <c r="P447" t="str">
        <f>IF(Table1[[#This Row],[Total_Cost]]&lt;25,"low",IF(Table1[[#This Row],[Total_Cost]]&lt;60,"medium","high"))</f>
        <v>high</v>
      </c>
      <c r="Q447" t="str">
        <f>IF(Table1[[#This Row],[Discount_Applied]]=TRUE,"discount applied","no discount")</f>
        <v>no discount</v>
      </c>
    </row>
    <row r="448" spans="1:17" x14ac:dyDescent="0.3">
      <c r="A448">
        <v>1000000446</v>
      </c>
      <c r="B448" s="1">
        <v>45168.908101851855</v>
      </c>
      <c r="C448" t="s">
        <v>896</v>
      </c>
      <c r="D448" t="s">
        <v>159</v>
      </c>
      <c r="E448">
        <v>6</v>
      </c>
      <c r="F448">
        <v>58.42</v>
      </c>
      <c r="G448" t="s">
        <v>23</v>
      </c>
      <c r="H448" t="s">
        <v>129</v>
      </c>
      <c r="I448" t="s">
        <v>37</v>
      </c>
      <c r="J448" t="b">
        <v>1</v>
      </c>
      <c r="K448" t="s">
        <v>47</v>
      </c>
      <c r="L448" t="s">
        <v>52</v>
      </c>
      <c r="M448" t="s">
        <v>28</v>
      </c>
      <c r="N448">
        <f>YEAR(Table1[[#This Row],[Date]])</f>
        <v>2023</v>
      </c>
      <c r="O448" t="str">
        <f>TEXT(Table1[[#This Row],[Date]],"mmm")</f>
        <v>Aug</v>
      </c>
      <c r="P448" t="str">
        <f>IF(Table1[[#This Row],[Total_Cost]]&lt;25,"low",IF(Table1[[#This Row],[Total_Cost]]&lt;60,"medium","high"))</f>
        <v>medium</v>
      </c>
      <c r="Q448" t="str">
        <f>IF(Table1[[#This Row],[Discount_Applied]]=TRUE,"discount applied","no discount")</f>
        <v>discount applied</v>
      </c>
    </row>
    <row r="449" spans="1:17" x14ac:dyDescent="0.3">
      <c r="A449">
        <v>1000000447</v>
      </c>
      <c r="B449" s="1">
        <v>44532.499722222223</v>
      </c>
      <c r="C449" t="s">
        <v>897</v>
      </c>
      <c r="D449" t="s">
        <v>898</v>
      </c>
      <c r="E449">
        <v>9</v>
      </c>
      <c r="F449">
        <v>96.59</v>
      </c>
      <c r="G449" t="s">
        <v>41</v>
      </c>
      <c r="H449" t="s">
        <v>32</v>
      </c>
      <c r="I449" t="s">
        <v>17</v>
      </c>
      <c r="J449" t="b">
        <v>0</v>
      </c>
      <c r="K449" t="s">
        <v>26</v>
      </c>
      <c r="L449" t="s">
        <v>38</v>
      </c>
      <c r="M449" t="s">
        <v>20</v>
      </c>
      <c r="N449">
        <f>YEAR(Table1[[#This Row],[Date]])</f>
        <v>2021</v>
      </c>
      <c r="O449" t="str">
        <f>TEXT(Table1[[#This Row],[Date]],"mmm")</f>
        <v>Dec</v>
      </c>
      <c r="P449" t="str">
        <f>IF(Table1[[#This Row],[Total_Cost]]&lt;25,"low",IF(Table1[[#This Row],[Total_Cost]]&lt;60,"medium","high"))</f>
        <v>high</v>
      </c>
      <c r="Q449" t="str">
        <f>IF(Table1[[#This Row],[Discount_Applied]]=TRUE,"discount applied","no discount")</f>
        <v>no discount</v>
      </c>
    </row>
    <row r="450" spans="1:17" x14ac:dyDescent="0.3">
      <c r="A450">
        <v>1000000448</v>
      </c>
      <c r="B450" s="1">
        <v>45032.92465277778</v>
      </c>
      <c r="C450" t="s">
        <v>899</v>
      </c>
      <c r="D450" t="s">
        <v>900</v>
      </c>
      <c r="E450">
        <v>7</v>
      </c>
      <c r="F450">
        <v>71.94</v>
      </c>
      <c r="G450" t="s">
        <v>41</v>
      </c>
      <c r="H450" t="s">
        <v>96</v>
      </c>
      <c r="I450" t="s">
        <v>17</v>
      </c>
      <c r="J450" t="b">
        <v>1</v>
      </c>
      <c r="K450" t="s">
        <v>18</v>
      </c>
      <c r="L450" t="s">
        <v>19</v>
      </c>
      <c r="M450" t="s">
        <v>43</v>
      </c>
      <c r="N450">
        <f>YEAR(Table1[[#This Row],[Date]])</f>
        <v>2023</v>
      </c>
      <c r="O450" t="str">
        <f>TEXT(Table1[[#This Row],[Date]],"mmm")</f>
        <v>Apr</v>
      </c>
      <c r="P450" t="str">
        <f>IF(Table1[[#This Row],[Total_Cost]]&lt;25,"low",IF(Table1[[#This Row],[Total_Cost]]&lt;60,"medium","high"))</f>
        <v>high</v>
      </c>
      <c r="Q450" t="str">
        <f>IF(Table1[[#This Row],[Discount_Applied]]=TRUE,"discount applied","no discount")</f>
        <v>discount applied</v>
      </c>
    </row>
    <row r="451" spans="1:17" x14ac:dyDescent="0.3">
      <c r="A451">
        <v>1000000449</v>
      </c>
      <c r="B451" s="1">
        <v>45061.670532407406</v>
      </c>
      <c r="C451" t="s">
        <v>901</v>
      </c>
      <c r="D451" t="s">
        <v>902</v>
      </c>
      <c r="E451">
        <v>3</v>
      </c>
      <c r="F451">
        <v>45.73</v>
      </c>
      <c r="G451" t="s">
        <v>15</v>
      </c>
      <c r="H451" t="s">
        <v>32</v>
      </c>
      <c r="I451" t="s">
        <v>59</v>
      </c>
      <c r="J451" t="b">
        <v>0</v>
      </c>
      <c r="K451" t="s">
        <v>26</v>
      </c>
      <c r="L451" t="s">
        <v>38</v>
      </c>
      <c r="M451" t="s">
        <v>20</v>
      </c>
      <c r="N451">
        <f>YEAR(Table1[[#This Row],[Date]])</f>
        <v>2023</v>
      </c>
      <c r="O451" t="str">
        <f>TEXT(Table1[[#This Row],[Date]],"mmm")</f>
        <v>May</v>
      </c>
      <c r="P451" t="str">
        <f>IF(Table1[[#This Row],[Total_Cost]]&lt;25,"low",IF(Table1[[#This Row],[Total_Cost]]&lt;60,"medium","high"))</f>
        <v>medium</v>
      </c>
      <c r="Q451" t="str">
        <f>IF(Table1[[#This Row],[Discount_Applied]]=TRUE,"discount applied","no discount")</f>
        <v>no discount</v>
      </c>
    </row>
    <row r="452" spans="1:17" x14ac:dyDescent="0.3">
      <c r="A452">
        <v>1000000450</v>
      </c>
      <c r="B452" s="1">
        <v>44998.783101851855</v>
      </c>
      <c r="C452" t="s">
        <v>903</v>
      </c>
      <c r="D452" t="s">
        <v>904</v>
      </c>
      <c r="E452">
        <v>5</v>
      </c>
      <c r="F452">
        <v>33.03</v>
      </c>
      <c r="G452" t="s">
        <v>23</v>
      </c>
      <c r="H452" t="s">
        <v>96</v>
      </c>
      <c r="I452" t="s">
        <v>46</v>
      </c>
      <c r="J452" t="b">
        <v>1</v>
      </c>
      <c r="K452" t="s">
        <v>18</v>
      </c>
      <c r="L452" t="s">
        <v>19</v>
      </c>
      <c r="M452" t="s">
        <v>20</v>
      </c>
      <c r="N452">
        <f>YEAR(Table1[[#This Row],[Date]])</f>
        <v>2023</v>
      </c>
      <c r="O452" t="str">
        <f>TEXT(Table1[[#This Row],[Date]],"mmm")</f>
        <v>Mar</v>
      </c>
      <c r="P452" t="str">
        <f>IF(Table1[[#This Row],[Total_Cost]]&lt;25,"low",IF(Table1[[#This Row],[Total_Cost]]&lt;60,"medium","high"))</f>
        <v>medium</v>
      </c>
      <c r="Q452" t="str">
        <f>IF(Table1[[#This Row],[Discount_Applied]]=TRUE,"discount applied","no discount")</f>
        <v>discount applied</v>
      </c>
    </row>
    <row r="453" spans="1:17" x14ac:dyDescent="0.3">
      <c r="A453">
        <v>1000000451</v>
      </c>
      <c r="B453" s="1">
        <v>45010.59988425926</v>
      </c>
      <c r="C453" t="s">
        <v>905</v>
      </c>
      <c r="D453" t="s">
        <v>906</v>
      </c>
      <c r="E453">
        <v>4</v>
      </c>
      <c r="F453">
        <v>62.22</v>
      </c>
      <c r="G453" t="s">
        <v>31</v>
      </c>
      <c r="H453" t="s">
        <v>16</v>
      </c>
      <c r="I453" t="s">
        <v>25</v>
      </c>
      <c r="J453" t="b">
        <v>1</v>
      </c>
      <c r="K453" t="s">
        <v>62</v>
      </c>
      <c r="L453" t="s">
        <v>27</v>
      </c>
      <c r="M453" t="s">
        <v>43</v>
      </c>
      <c r="N453">
        <f>YEAR(Table1[[#This Row],[Date]])</f>
        <v>2023</v>
      </c>
      <c r="O453" t="str">
        <f>TEXT(Table1[[#This Row],[Date]],"mmm")</f>
        <v>Mar</v>
      </c>
      <c r="P453" t="str">
        <f>IF(Table1[[#This Row],[Total_Cost]]&lt;25,"low",IF(Table1[[#This Row],[Total_Cost]]&lt;60,"medium","high"))</f>
        <v>high</v>
      </c>
      <c r="Q453" t="str">
        <f>IF(Table1[[#This Row],[Discount_Applied]]=TRUE,"discount applied","no discount")</f>
        <v>discount applied</v>
      </c>
    </row>
    <row r="454" spans="1:17" x14ac:dyDescent="0.3">
      <c r="A454">
        <v>1000000452</v>
      </c>
      <c r="B454" s="1">
        <v>44953.804768518516</v>
      </c>
      <c r="C454" t="s">
        <v>907</v>
      </c>
      <c r="D454" t="s">
        <v>908</v>
      </c>
      <c r="E454">
        <v>8</v>
      </c>
      <c r="F454">
        <v>7.86</v>
      </c>
      <c r="G454" t="s">
        <v>31</v>
      </c>
      <c r="H454" t="s">
        <v>129</v>
      </c>
      <c r="I454" t="s">
        <v>37</v>
      </c>
      <c r="J454" t="b">
        <v>0</v>
      </c>
      <c r="K454" t="s">
        <v>51</v>
      </c>
      <c r="L454" t="s">
        <v>38</v>
      </c>
      <c r="M454" t="s">
        <v>20</v>
      </c>
      <c r="N454">
        <f>YEAR(Table1[[#This Row],[Date]])</f>
        <v>2023</v>
      </c>
      <c r="O454" t="str">
        <f>TEXT(Table1[[#This Row],[Date]],"mmm")</f>
        <v>Jan</v>
      </c>
      <c r="P454" t="str">
        <f>IF(Table1[[#This Row],[Total_Cost]]&lt;25,"low",IF(Table1[[#This Row],[Total_Cost]]&lt;60,"medium","high"))</f>
        <v>low</v>
      </c>
      <c r="Q454" t="str">
        <f>IF(Table1[[#This Row],[Discount_Applied]]=TRUE,"discount applied","no discount")</f>
        <v>no discount</v>
      </c>
    </row>
    <row r="455" spans="1:17" x14ac:dyDescent="0.3">
      <c r="A455">
        <v>1000000453</v>
      </c>
      <c r="B455" s="1">
        <v>43900.519166666665</v>
      </c>
      <c r="C455" t="s">
        <v>909</v>
      </c>
      <c r="D455" t="s">
        <v>910</v>
      </c>
      <c r="E455">
        <v>1</v>
      </c>
      <c r="F455">
        <v>61.3</v>
      </c>
      <c r="G455" t="s">
        <v>23</v>
      </c>
      <c r="H455" t="s">
        <v>16</v>
      </c>
      <c r="I455" t="s">
        <v>46</v>
      </c>
      <c r="J455" t="b">
        <v>1</v>
      </c>
      <c r="K455" t="s">
        <v>26</v>
      </c>
      <c r="L455" t="s">
        <v>38</v>
      </c>
      <c r="M455" t="s">
        <v>43</v>
      </c>
      <c r="N455">
        <f>YEAR(Table1[[#This Row],[Date]])</f>
        <v>2020</v>
      </c>
      <c r="O455" t="str">
        <f>TEXT(Table1[[#This Row],[Date]],"mmm")</f>
        <v>Mar</v>
      </c>
      <c r="P455" t="str">
        <f>IF(Table1[[#This Row],[Total_Cost]]&lt;25,"low",IF(Table1[[#This Row],[Total_Cost]]&lt;60,"medium","high"))</f>
        <v>high</v>
      </c>
      <c r="Q455" t="str">
        <f>IF(Table1[[#This Row],[Discount_Applied]]=TRUE,"discount applied","no discount")</f>
        <v>discount applied</v>
      </c>
    </row>
    <row r="456" spans="1:17" x14ac:dyDescent="0.3">
      <c r="A456">
        <v>1000000454</v>
      </c>
      <c r="B456" s="1">
        <v>44131.938587962963</v>
      </c>
      <c r="C456" t="s">
        <v>911</v>
      </c>
      <c r="D456" t="s">
        <v>912</v>
      </c>
      <c r="E456">
        <v>10</v>
      </c>
      <c r="F456">
        <v>45.61</v>
      </c>
      <c r="G456" t="s">
        <v>15</v>
      </c>
      <c r="H456" t="s">
        <v>65</v>
      </c>
      <c r="I456" t="s">
        <v>37</v>
      </c>
      <c r="J456" t="b">
        <v>1</v>
      </c>
      <c r="K456" t="s">
        <v>42</v>
      </c>
      <c r="L456" t="s">
        <v>27</v>
      </c>
      <c r="M456" t="s">
        <v>20</v>
      </c>
      <c r="N456">
        <f>YEAR(Table1[[#This Row],[Date]])</f>
        <v>2020</v>
      </c>
      <c r="O456" t="str">
        <f>TEXT(Table1[[#This Row],[Date]],"mmm")</f>
        <v>Oct</v>
      </c>
      <c r="P456" t="str">
        <f>IF(Table1[[#This Row],[Total_Cost]]&lt;25,"low",IF(Table1[[#This Row],[Total_Cost]]&lt;60,"medium","high"))</f>
        <v>medium</v>
      </c>
      <c r="Q456" t="str">
        <f>IF(Table1[[#This Row],[Discount_Applied]]=TRUE,"discount applied","no discount")</f>
        <v>discount applied</v>
      </c>
    </row>
    <row r="457" spans="1:17" x14ac:dyDescent="0.3">
      <c r="A457">
        <v>1000000455</v>
      </c>
      <c r="B457" s="1">
        <v>44978.42869212963</v>
      </c>
      <c r="C457" t="s">
        <v>913</v>
      </c>
      <c r="D457" t="s">
        <v>914</v>
      </c>
      <c r="E457">
        <v>10</v>
      </c>
      <c r="F457">
        <v>71.17</v>
      </c>
      <c r="G457" t="s">
        <v>41</v>
      </c>
      <c r="H457" t="s">
        <v>50</v>
      </c>
      <c r="I457" t="s">
        <v>17</v>
      </c>
      <c r="J457" t="b">
        <v>1</v>
      </c>
      <c r="K457" t="s">
        <v>26</v>
      </c>
      <c r="L457" t="s">
        <v>52</v>
      </c>
      <c r="M457" t="s">
        <v>28</v>
      </c>
      <c r="N457">
        <f>YEAR(Table1[[#This Row],[Date]])</f>
        <v>2023</v>
      </c>
      <c r="O457" t="str">
        <f>TEXT(Table1[[#This Row],[Date]],"mmm")</f>
        <v>Feb</v>
      </c>
      <c r="P457" t="str">
        <f>IF(Table1[[#This Row],[Total_Cost]]&lt;25,"low",IF(Table1[[#This Row],[Total_Cost]]&lt;60,"medium","high"))</f>
        <v>high</v>
      </c>
      <c r="Q457" t="str">
        <f>IF(Table1[[#This Row],[Discount_Applied]]=TRUE,"discount applied","no discount")</f>
        <v>discount applied</v>
      </c>
    </row>
    <row r="458" spans="1:17" x14ac:dyDescent="0.3">
      <c r="A458">
        <v>1000000456</v>
      </c>
      <c r="B458" s="1">
        <v>44914.828206018516</v>
      </c>
      <c r="C458" t="s">
        <v>915</v>
      </c>
      <c r="D458" t="s">
        <v>916</v>
      </c>
      <c r="E458">
        <v>5</v>
      </c>
      <c r="F458">
        <v>51.07</v>
      </c>
      <c r="G458" t="s">
        <v>31</v>
      </c>
      <c r="H458" t="s">
        <v>129</v>
      </c>
      <c r="I458" t="s">
        <v>59</v>
      </c>
      <c r="J458" t="b">
        <v>0</v>
      </c>
      <c r="K458" t="s">
        <v>47</v>
      </c>
      <c r="L458" t="s">
        <v>19</v>
      </c>
      <c r="M458" t="s">
        <v>20</v>
      </c>
      <c r="N458">
        <f>YEAR(Table1[[#This Row],[Date]])</f>
        <v>2022</v>
      </c>
      <c r="O458" t="str">
        <f>TEXT(Table1[[#This Row],[Date]],"mmm")</f>
        <v>Dec</v>
      </c>
      <c r="P458" t="str">
        <f>IF(Table1[[#This Row],[Total_Cost]]&lt;25,"low",IF(Table1[[#This Row],[Total_Cost]]&lt;60,"medium","high"))</f>
        <v>medium</v>
      </c>
      <c r="Q458" t="str">
        <f>IF(Table1[[#This Row],[Discount_Applied]]=TRUE,"discount applied","no discount")</f>
        <v>no discount</v>
      </c>
    </row>
    <row r="459" spans="1:17" x14ac:dyDescent="0.3">
      <c r="A459">
        <v>1000000457</v>
      </c>
      <c r="B459" s="1">
        <v>45404.121365740742</v>
      </c>
      <c r="C459" t="s">
        <v>917</v>
      </c>
      <c r="D459" t="s">
        <v>193</v>
      </c>
      <c r="E459">
        <v>2</v>
      </c>
      <c r="F459">
        <v>75.97</v>
      </c>
      <c r="G459" t="s">
        <v>31</v>
      </c>
      <c r="H459" t="s">
        <v>16</v>
      </c>
      <c r="I459" t="s">
        <v>33</v>
      </c>
      <c r="J459" t="b">
        <v>0</v>
      </c>
      <c r="K459" t="s">
        <v>80</v>
      </c>
      <c r="L459" t="s">
        <v>38</v>
      </c>
      <c r="M459" t="s">
        <v>20</v>
      </c>
      <c r="N459">
        <f>YEAR(Table1[[#This Row],[Date]])</f>
        <v>2024</v>
      </c>
      <c r="O459" t="str">
        <f>TEXT(Table1[[#This Row],[Date]],"mmm")</f>
        <v>Apr</v>
      </c>
      <c r="P459" t="str">
        <f>IF(Table1[[#This Row],[Total_Cost]]&lt;25,"low",IF(Table1[[#This Row],[Total_Cost]]&lt;60,"medium","high"))</f>
        <v>high</v>
      </c>
      <c r="Q459" t="str">
        <f>IF(Table1[[#This Row],[Discount_Applied]]=TRUE,"discount applied","no discount")</f>
        <v>no discount</v>
      </c>
    </row>
    <row r="460" spans="1:17" x14ac:dyDescent="0.3">
      <c r="A460">
        <v>1000000458</v>
      </c>
      <c r="B460" s="1">
        <v>44946.839236111111</v>
      </c>
      <c r="C460" t="s">
        <v>918</v>
      </c>
      <c r="D460" t="s">
        <v>56</v>
      </c>
      <c r="E460">
        <v>7</v>
      </c>
      <c r="F460">
        <v>78.88</v>
      </c>
      <c r="G460" t="s">
        <v>15</v>
      </c>
      <c r="H460" t="s">
        <v>24</v>
      </c>
      <c r="I460" t="s">
        <v>46</v>
      </c>
      <c r="J460" t="b">
        <v>1</v>
      </c>
      <c r="K460" t="s">
        <v>42</v>
      </c>
      <c r="L460" t="s">
        <v>27</v>
      </c>
      <c r="M460" t="s">
        <v>20</v>
      </c>
      <c r="N460">
        <f>YEAR(Table1[[#This Row],[Date]])</f>
        <v>2023</v>
      </c>
      <c r="O460" t="str">
        <f>TEXT(Table1[[#This Row],[Date]],"mmm")</f>
        <v>Jan</v>
      </c>
      <c r="P460" t="str">
        <f>IF(Table1[[#This Row],[Total_Cost]]&lt;25,"low",IF(Table1[[#This Row],[Total_Cost]]&lt;60,"medium","high"))</f>
        <v>high</v>
      </c>
      <c r="Q460" t="str">
        <f>IF(Table1[[#This Row],[Discount_Applied]]=TRUE,"discount applied","no discount")</f>
        <v>discount applied</v>
      </c>
    </row>
    <row r="461" spans="1:17" x14ac:dyDescent="0.3">
      <c r="A461">
        <v>1000000459</v>
      </c>
      <c r="B461" s="1">
        <v>43972.374976851854</v>
      </c>
      <c r="C461" t="s">
        <v>919</v>
      </c>
      <c r="D461" t="s">
        <v>920</v>
      </c>
      <c r="E461">
        <v>5</v>
      </c>
      <c r="F461">
        <v>52.55</v>
      </c>
      <c r="G461" t="s">
        <v>31</v>
      </c>
      <c r="H461" t="s">
        <v>65</v>
      </c>
      <c r="I461" t="s">
        <v>37</v>
      </c>
      <c r="J461" t="b">
        <v>1</v>
      </c>
      <c r="K461" t="s">
        <v>80</v>
      </c>
      <c r="L461" t="s">
        <v>27</v>
      </c>
      <c r="M461" t="s">
        <v>20</v>
      </c>
      <c r="N461">
        <f>YEAR(Table1[[#This Row],[Date]])</f>
        <v>2020</v>
      </c>
      <c r="O461" t="str">
        <f>TEXT(Table1[[#This Row],[Date]],"mmm")</f>
        <v>May</v>
      </c>
      <c r="P461" t="str">
        <f>IF(Table1[[#This Row],[Total_Cost]]&lt;25,"low",IF(Table1[[#This Row],[Total_Cost]]&lt;60,"medium","high"))</f>
        <v>medium</v>
      </c>
      <c r="Q461" t="str">
        <f>IF(Table1[[#This Row],[Discount_Applied]]=TRUE,"discount applied","no discount")</f>
        <v>discount applied</v>
      </c>
    </row>
    <row r="462" spans="1:17" x14ac:dyDescent="0.3">
      <c r="A462">
        <v>1000000460</v>
      </c>
      <c r="B462" s="1">
        <v>44613.026076388887</v>
      </c>
      <c r="C462" t="s">
        <v>921</v>
      </c>
      <c r="D462" t="s">
        <v>922</v>
      </c>
      <c r="E462">
        <v>3</v>
      </c>
      <c r="F462">
        <v>71.47</v>
      </c>
      <c r="G462" t="s">
        <v>15</v>
      </c>
      <c r="H462" t="s">
        <v>50</v>
      </c>
      <c r="I462" t="s">
        <v>46</v>
      </c>
      <c r="J462" t="b">
        <v>1</v>
      </c>
      <c r="K462" t="s">
        <v>51</v>
      </c>
      <c r="L462" t="s">
        <v>19</v>
      </c>
      <c r="M462" t="s">
        <v>20</v>
      </c>
      <c r="N462">
        <f>YEAR(Table1[[#This Row],[Date]])</f>
        <v>2022</v>
      </c>
      <c r="O462" t="str">
        <f>TEXT(Table1[[#This Row],[Date]],"mmm")</f>
        <v>Feb</v>
      </c>
      <c r="P462" t="str">
        <f>IF(Table1[[#This Row],[Total_Cost]]&lt;25,"low",IF(Table1[[#This Row],[Total_Cost]]&lt;60,"medium","high"))</f>
        <v>high</v>
      </c>
      <c r="Q462" t="str">
        <f>IF(Table1[[#This Row],[Discount_Applied]]=TRUE,"discount applied","no discount")</f>
        <v>discount applied</v>
      </c>
    </row>
    <row r="463" spans="1:17" x14ac:dyDescent="0.3">
      <c r="A463">
        <v>1000000461</v>
      </c>
      <c r="B463" s="1">
        <v>44925.319027777776</v>
      </c>
      <c r="C463" t="s">
        <v>923</v>
      </c>
      <c r="D463" t="s">
        <v>924</v>
      </c>
      <c r="E463">
        <v>6</v>
      </c>
      <c r="F463">
        <v>96.99</v>
      </c>
      <c r="G463" t="s">
        <v>31</v>
      </c>
      <c r="H463" t="s">
        <v>16</v>
      </c>
      <c r="I463" t="s">
        <v>59</v>
      </c>
      <c r="J463" t="b">
        <v>0</v>
      </c>
      <c r="K463" t="s">
        <v>26</v>
      </c>
      <c r="L463" t="s">
        <v>19</v>
      </c>
      <c r="M463" t="s">
        <v>43</v>
      </c>
      <c r="N463">
        <f>YEAR(Table1[[#This Row],[Date]])</f>
        <v>2022</v>
      </c>
      <c r="O463" t="str">
        <f>TEXT(Table1[[#This Row],[Date]],"mmm")</f>
        <v>Dec</v>
      </c>
      <c r="P463" t="str">
        <f>IF(Table1[[#This Row],[Total_Cost]]&lt;25,"low",IF(Table1[[#This Row],[Total_Cost]]&lt;60,"medium","high"))</f>
        <v>high</v>
      </c>
      <c r="Q463" t="str">
        <f>IF(Table1[[#This Row],[Discount_Applied]]=TRUE,"discount applied","no discount")</f>
        <v>no discount</v>
      </c>
    </row>
    <row r="464" spans="1:17" x14ac:dyDescent="0.3">
      <c r="A464">
        <v>1000000462</v>
      </c>
      <c r="B464" s="1">
        <v>43848.022534722222</v>
      </c>
      <c r="C464" t="s">
        <v>925</v>
      </c>
      <c r="D464" t="s">
        <v>926</v>
      </c>
      <c r="E464">
        <v>7</v>
      </c>
      <c r="F464">
        <v>71.680000000000007</v>
      </c>
      <c r="G464" t="s">
        <v>41</v>
      </c>
      <c r="H464" t="s">
        <v>96</v>
      </c>
      <c r="I464" t="s">
        <v>46</v>
      </c>
      <c r="J464" t="b">
        <v>1</v>
      </c>
      <c r="K464" t="s">
        <v>62</v>
      </c>
      <c r="L464" t="s">
        <v>19</v>
      </c>
      <c r="M464" t="s">
        <v>28</v>
      </c>
      <c r="N464">
        <f>YEAR(Table1[[#This Row],[Date]])</f>
        <v>2020</v>
      </c>
      <c r="O464" t="str">
        <f>TEXT(Table1[[#This Row],[Date]],"mmm")</f>
        <v>Jan</v>
      </c>
      <c r="P464" t="str">
        <f>IF(Table1[[#This Row],[Total_Cost]]&lt;25,"low",IF(Table1[[#This Row],[Total_Cost]]&lt;60,"medium","high"))</f>
        <v>high</v>
      </c>
      <c r="Q464" t="str">
        <f>IF(Table1[[#This Row],[Discount_Applied]]=TRUE,"discount applied","no discount")</f>
        <v>discount applied</v>
      </c>
    </row>
    <row r="465" spans="1:17" x14ac:dyDescent="0.3">
      <c r="A465">
        <v>1000000463</v>
      </c>
      <c r="B465" s="1">
        <v>44276.66064814815</v>
      </c>
      <c r="C465" t="s">
        <v>927</v>
      </c>
      <c r="D465" t="s">
        <v>928</v>
      </c>
      <c r="E465">
        <v>5</v>
      </c>
      <c r="F465">
        <v>20.13</v>
      </c>
      <c r="G465" t="s">
        <v>41</v>
      </c>
      <c r="H465" t="s">
        <v>16</v>
      </c>
      <c r="I465" t="s">
        <v>59</v>
      </c>
      <c r="J465" t="b">
        <v>0</v>
      </c>
      <c r="K465" t="s">
        <v>42</v>
      </c>
      <c r="L465" t="s">
        <v>38</v>
      </c>
      <c r="M465" t="s">
        <v>20</v>
      </c>
      <c r="N465">
        <f>YEAR(Table1[[#This Row],[Date]])</f>
        <v>2021</v>
      </c>
      <c r="O465" t="str">
        <f>TEXT(Table1[[#This Row],[Date]],"mmm")</f>
        <v>Mar</v>
      </c>
      <c r="P465" t="str">
        <f>IF(Table1[[#This Row],[Total_Cost]]&lt;25,"low",IF(Table1[[#This Row],[Total_Cost]]&lt;60,"medium","high"))</f>
        <v>low</v>
      </c>
      <c r="Q465" t="str">
        <f>IF(Table1[[#This Row],[Discount_Applied]]=TRUE,"discount applied","no discount")</f>
        <v>no discount</v>
      </c>
    </row>
    <row r="466" spans="1:17" x14ac:dyDescent="0.3">
      <c r="A466">
        <v>1000000464</v>
      </c>
      <c r="B466" s="1">
        <v>43888.887106481481</v>
      </c>
      <c r="C466" t="s">
        <v>929</v>
      </c>
      <c r="D466" t="s">
        <v>930</v>
      </c>
      <c r="E466">
        <v>10</v>
      </c>
      <c r="F466">
        <v>69.64</v>
      </c>
      <c r="G466" t="s">
        <v>41</v>
      </c>
      <c r="H466" t="s">
        <v>36</v>
      </c>
      <c r="I466" t="s">
        <v>59</v>
      </c>
      <c r="J466" t="b">
        <v>0</v>
      </c>
      <c r="K466" t="s">
        <v>47</v>
      </c>
      <c r="L466" t="s">
        <v>19</v>
      </c>
      <c r="M466" t="s">
        <v>28</v>
      </c>
      <c r="N466">
        <f>YEAR(Table1[[#This Row],[Date]])</f>
        <v>2020</v>
      </c>
      <c r="O466" t="str">
        <f>TEXT(Table1[[#This Row],[Date]],"mmm")</f>
        <v>Feb</v>
      </c>
      <c r="P466" t="str">
        <f>IF(Table1[[#This Row],[Total_Cost]]&lt;25,"low",IF(Table1[[#This Row],[Total_Cost]]&lt;60,"medium","high"))</f>
        <v>high</v>
      </c>
      <c r="Q466" t="str">
        <f>IF(Table1[[#This Row],[Discount_Applied]]=TRUE,"discount applied","no discount")</f>
        <v>no discount</v>
      </c>
    </row>
    <row r="467" spans="1:17" x14ac:dyDescent="0.3">
      <c r="A467">
        <v>1000000465</v>
      </c>
      <c r="B467" s="1">
        <v>44576.669953703706</v>
      </c>
      <c r="C467" t="s">
        <v>931</v>
      </c>
      <c r="D467" t="s">
        <v>932</v>
      </c>
      <c r="E467">
        <v>10</v>
      </c>
      <c r="F467">
        <v>46.18</v>
      </c>
      <c r="G467" t="s">
        <v>41</v>
      </c>
      <c r="H467" t="s">
        <v>70</v>
      </c>
      <c r="I467" t="s">
        <v>17</v>
      </c>
      <c r="J467" t="b">
        <v>0</v>
      </c>
      <c r="K467" t="s">
        <v>80</v>
      </c>
      <c r="L467" t="s">
        <v>19</v>
      </c>
      <c r="M467" t="s">
        <v>20</v>
      </c>
      <c r="N467">
        <f>YEAR(Table1[[#This Row],[Date]])</f>
        <v>2022</v>
      </c>
      <c r="O467" t="str">
        <f>TEXT(Table1[[#This Row],[Date]],"mmm")</f>
        <v>Jan</v>
      </c>
      <c r="P467" t="str">
        <f>IF(Table1[[#This Row],[Total_Cost]]&lt;25,"low",IF(Table1[[#This Row],[Total_Cost]]&lt;60,"medium","high"))</f>
        <v>medium</v>
      </c>
      <c r="Q467" t="str">
        <f>IF(Table1[[#This Row],[Discount_Applied]]=TRUE,"discount applied","no discount")</f>
        <v>no discount</v>
      </c>
    </row>
    <row r="468" spans="1:17" x14ac:dyDescent="0.3">
      <c r="A468">
        <v>1000000466</v>
      </c>
      <c r="B468" s="1">
        <v>43845.512557870374</v>
      </c>
      <c r="C468" t="s">
        <v>933</v>
      </c>
      <c r="D468" t="s">
        <v>934</v>
      </c>
      <c r="E468">
        <v>7</v>
      </c>
      <c r="F468">
        <v>22.29</v>
      </c>
      <c r="G468" t="s">
        <v>31</v>
      </c>
      <c r="H468" t="s">
        <v>36</v>
      </c>
      <c r="I468" t="s">
        <v>59</v>
      </c>
      <c r="J468" t="b">
        <v>0</v>
      </c>
      <c r="K468" t="s">
        <v>51</v>
      </c>
      <c r="L468" t="s">
        <v>19</v>
      </c>
      <c r="M468" t="s">
        <v>20</v>
      </c>
      <c r="N468">
        <f>YEAR(Table1[[#This Row],[Date]])</f>
        <v>2020</v>
      </c>
      <c r="O468" t="str">
        <f>TEXT(Table1[[#This Row],[Date]],"mmm")</f>
        <v>Jan</v>
      </c>
      <c r="P468" t="str">
        <f>IF(Table1[[#This Row],[Total_Cost]]&lt;25,"low",IF(Table1[[#This Row],[Total_Cost]]&lt;60,"medium","high"))</f>
        <v>low</v>
      </c>
      <c r="Q468" t="str">
        <f>IF(Table1[[#This Row],[Discount_Applied]]=TRUE,"discount applied","no discount")</f>
        <v>no discount</v>
      </c>
    </row>
    <row r="469" spans="1:17" x14ac:dyDescent="0.3">
      <c r="A469">
        <v>1000000467</v>
      </c>
      <c r="B469" s="1">
        <v>44621.216689814813</v>
      </c>
      <c r="C469" t="s">
        <v>935</v>
      </c>
      <c r="D469" t="s">
        <v>936</v>
      </c>
      <c r="E469">
        <v>2</v>
      </c>
      <c r="F469">
        <v>17.37</v>
      </c>
      <c r="G469" t="s">
        <v>23</v>
      </c>
      <c r="H469" t="s">
        <v>16</v>
      </c>
      <c r="I469" t="s">
        <v>37</v>
      </c>
      <c r="J469" t="b">
        <v>1</v>
      </c>
      <c r="K469" t="s">
        <v>18</v>
      </c>
      <c r="L469" t="s">
        <v>38</v>
      </c>
      <c r="M469" t="s">
        <v>20</v>
      </c>
      <c r="N469">
        <f>YEAR(Table1[[#This Row],[Date]])</f>
        <v>2022</v>
      </c>
      <c r="O469" t="str">
        <f>TEXT(Table1[[#This Row],[Date]],"mmm")</f>
        <v>Mar</v>
      </c>
      <c r="P469" t="str">
        <f>IF(Table1[[#This Row],[Total_Cost]]&lt;25,"low",IF(Table1[[#This Row],[Total_Cost]]&lt;60,"medium","high"))</f>
        <v>low</v>
      </c>
      <c r="Q469" t="str">
        <f>IF(Table1[[#This Row],[Discount_Applied]]=TRUE,"discount applied","no discount")</f>
        <v>discount applied</v>
      </c>
    </row>
    <row r="470" spans="1:17" x14ac:dyDescent="0.3">
      <c r="A470">
        <v>1000000468</v>
      </c>
      <c r="B470" s="1">
        <v>45419.101678240739</v>
      </c>
      <c r="C470" t="s">
        <v>937</v>
      </c>
      <c r="D470" t="s">
        <v>938</v>
      </c>
      <c r="E470">
        <v>7</v>
      </c>
      <c r="F470">
        <v>6.66</v>
      </c>
      <c r="G470" t="s">
        <v>31</v>
      </c>
      <c r="H470" t="s">
        <v>16</v>
      </c>
      <c r="I470" t="s">
        <v>25</v>
      </c>
      <c r="J470" t="b">
        <v>1</v>
      </c>
      <c r="K470" t="s">
        <v>47</v>
      </c>
      <c r="L470" t="s">
        <v>38</v>
      </c>
      <c r="M470" t="s">
        <v>20</v>
      </c>
      <c r="N470">
        <f>YEAR(Table1[[#This Row],[Date]])</f>
        <v>2024</v>
      </c>
      <c r="O470" t="str">
        <f>TEXT(Table1[[#This Row],[Date]],"mmm")</f>
        <v>May</v>
      </c>
      <c r="P470" t="str">
        <f>IF(Table1[[#This Row],[Total_Cost]]&lt;25,"low",IF(Table1[[#This Row],[Total_Cost]]&lt;60,"medium","high"))</f>
        <v>low</v>
      </c>
      <c r="Q470" t="str">
        <f>IF(Table1[[#This Row],[Discount_Applied]]=TRUE,"discount applied","no discount")</f>
        <v>discount applied</v>
      </c>
    </row>
    <row r="471" spans="1:17" x14ac:dyDescent="0.3">
      <c r="A471">
        <v>1000000469</v>
      </c>
      <c r="B471" s="1">
        <v>45408.270219907405</v>
      </c>
      <c r="C471" t="s">
        <v>939</v>
      </c>
      <c r="D471" t="s">
        <v>139</v>
      </c>
      <c r="E471">
        <v>6</v>
      </c>
      <c r="F471">
        <v>44.44</v>
      </c>
      <c r="G471" t="s">
        <v>31</v>
      </c>
      <c r="H471" t="s">
        <v>65</v>
      </c>
      <c r="I471" t="s">
        <v>33</v>
      </c>
      <c r="J471" t="b">
        <v>1</v>
      </c>
      <c r="K471" t="s">
        <v>47</v>
      </c>
      <c r="L471" t="s">
        <v>19</v>
      </c>
      <c r="M471" t="s">
        <v>28</v>
      </c>
      <c r="N471">
        <f>YEAR(Table1[[#This Row],[Date]])</f>
        <v>2024</v>
      </c>
      <c r="O471" t="str">
        <f>TEXT(Table1[[#This Row],[Date]],"mmm")</f>
        <v>Apr</v>
      </c>
      <c r="P471" t="str">
        <f>IF(Table1[[#This Row],[Total_Cost]]&lt;25,"low",IF(Table1[[#This Row],[Total_Cost]]&lt;60,"medium","high"))</f>
        <v>medium</v>
      </c>
      <c r="Q471" t="str">
        <f>IF(Table1[[#This Row],[Discount_Applied]]=TRUE,"discount applied","no discount")</f>
        <v>discount applied</v>
      </c>
    </row>
    <row r="472" spans="1:17" x14ac:dyDescent="0.3">
      <c r="A472">
        <v>1000000470</v>
      </c>
      <c r="B472" s="1">
        <v>44201.702800925923</v>
      </c>
      <c r="C472" t="s">
        <v>940</v>
      </c>
      <c r="D472" t="s">
        <v>941</v>
      </c>
      <c r="E472">
        <v>5</v>
      </c>
      <c r="F472">
        <v>33.549999999999997</v>
      </c>
      <c r="G472" t="s">
        <v>41</v>
      </c>
      <c r="H472" t="s">
        <v>36</v>
      </c>
      <c r="I472" t="s">
        <v>17</v>
      </c>
      <c r="J472" t="b">
        <v>1</v>
      </c>
      <c r="K472" t="s">
        <v>47</v>
      </c>
      <c r="L472" t="s">
        <v>19</v>
      </c>
      <c r="M472" t="s">
        <v>43</v>
      </c>
      <c r="N472">
        <f>YEAR(Table1[[#This Row],[Date]])</f>
        <v>2021</v>
      </c>
      <c r="O472" t="str">
        <f>TEXT(Table1[[#This Row],[Date]],"mmm")</f>
        <v>Jan</v>
      </c>
      <c r="P472" t="str">
        <f>IF(Table1[[#This Row],[Total_Cost]]&lt;25,"low",IF(Table1[[#This Row],[Total_Cost]]&lt;60,"medium","high"))</f>
        <v>medium</v>
      </c>
      <c r="Q472" t="str">
        <f>IF(Table1[[#This Row],[Discount_Applied]]=TRUE,"discount applied","no discount")</f>
        <v>discount applied</v>
      </c>
    </row>
    <row r="473" spans="1:17" x14ac:dyDescent="0.3">
      <c r="A473">
        <v>1000000471</v>
      </c>
      <c r="B473" s="1">
        <v>45044.889675925922</v>
      </c>
      <c r="C473" t="s">
        <v>942</v>
      </c>
      <c r="D473" t="s">
        <v>943</v>
      </c>
      <c r="E473">
        <v>1</v>
      </c>
      <c r="F473">
        <v>35.450000000000003</v>
      </c>
      <c r="G473" t="s">
        <v>41</v>
      </c>
      <c r="H473" t="s">
        <v>96</v>
      </c>
      <c r="I473" t="s">
        <v>25</v>
      </c>
      <c r="J473" t="b">
        <v>0</v>
      </c>
      <c r="K473" t="s">
        <v>51</v>
      </c>
      <c r="L473" t="s">
        <v>38</v>
      </c>
      <c r="M473" t="s">
        <v>20</v>
      </c>
      <c r="N473">
        <f>YEAR(Table1[[#This Row],[Date]])</f>
        <v>2023</v>
      </c>
      <c r="O473" t="str">
        <f>TEXT(Table1[[#This Row],[Date]],"mmm")</f>
        <v>Apr</v>
      </c>
      <c r="P473" t="str">
        <f>IF(Table1[[#This Row],[Total_Cost]]&lt;25,"low",IF(Table1[[#This Row],[Total_Cost]]&lt;60,"medium","high"))</f>
        <v>medium</v>
      </c>
      <c r="Q473" t="str">
        <f>IF(Table1[[#This Row],[Discount_Applied]]=TRUE,"discount applied","no discount")</f>
        <v>no discount</v>
      </c>
    </row>
    <row r="474" spans="1:17" x14ac:dyDescent="0.3">
      <c r="A474">
        <v>1000000472</v>
      </c>
      <c r="B474" s="1">
        <v>45264.549641203703</v>
      </c>
      <c r="C474" t="s">
        <v>944</v>
      </c>
      <c r="D474" t="s">
        <v>945</v>
      </c>
      <c r="E474">
        <v>10</v>
      </c>
      <c r="F474">
        <v>60.54</v>
      </c>
      <c r="G474" t="s">
        <v>31</v>
      </c>
      <c r="H474" t="s">
        <v>96</v>
      </c>
      <c r="I474" t="s">
        <v>37</v>
      </c>
      <c r="J474" t="b">
        <v>1</v>
      </c>
      <c r="K474" t="s">
        <v>80</v>
      </c>
      <c r="L474" t="s">
        <v>27</v>
      </c>
      <c r="M474" t="s">
        <v>28</v>
      </c>
      <c r="N474">
        <f>YEAR(Table1[[#This Row],[Date]])</f>
        <v>2023</v>
      </c>
      <c r="O474" t="str">
        <f>TEXT(Table1[[#This Row],[Date]],"mmm")</f>
        <v>Dec</v>
      </c>
      <c r="P474" t="str">
        <f>IF(Table1[[#This Row],[Total_Cost]]&lt;25,"low",IF(Table1[[#This Row],[Total_Cost]]&lt;60,"medium","high"))</f>
        <v>high</v>
      </c>
      <c r="Q474" t="str">
        <f>IF(Table1[[#This Row],[Discount_Applied]]=TRUE,"discount applied","no discount")</f>
        <v>discount applied</v>
      </c>
    </row>
    <row r="475" spans="1:17" x14ac:dyDescent="0.3">
      <c r="A475">
        <v>1000000473</v>
      </c>
      <c r="B475" s="1">
        <v>45361.245821759258</v>
      </c>
      <c r="C475" t="s">
        <v>946</v>
      </c>
      <c r="D475" t="s">
        <v>108</v>
      </c>
      <c r="E475">
        <v>2</v>
      </c>
      <c r="F475">
        <v>73.89</v>
      </c>
      <c r="G475" t="s">
        <v>31</v>
      </c>
      <c r="H475" t="s">
        <v>50</v>
      </c>
      <c r="I475" t="s">
        <v>59</v>
      </c>
      <c r="J475" t="b">
        <v>0</v>
      </c>
      <c r="K475" t="s">
        <v>47</v>
      </c>
      <c r="L475" t="s">
        <v>27</v>
      </c>
      <c r="M475" t="s">
        <v>20</v>
      </c>
      <c r="N475">
        <f>YEAR(Table1[[#This Row],[Date]])</f>
        <v>2024</v>
      </c>
      <c r="O475" t="str">
        <f>TEXT(Table1[[#This Row],[Date]],"mmm")</f>
        <v>Mar</v>
      </c>
      <c r="P475" t="str">
        <f>IF(Table1[[#This Row],[Total_Cost]]&lt;25,"low",IF(Table1[[#This Row],[Total_Cost]]&lt;60,"medium","high"))</f>
        <v>high</v>
      </c>
      <c r="Q475" t="str">
        <f>IF(Table1[[#This Row],[Discount_Applied]]=TRUE,"discount applied","no discount")</f>
        <v>no discount</v>
      </c>
    </row>
    <row r="476" spans="1:17" x14ac:dyDescent="0.3">
      <c r="A476">
        <v>1000000474</v>
      </c>
      <c r="B476" s="1">
        <v>43897.904548611114</v>
      </c>
      <c r="C476" t="s">
        <v>947</v>
      </c>
      <c r="D476" t="s">
        <v>948</v>
      </c>
      <c r="E476">
        <v>9</v>
      </c>
      <c r="F476">
        <v>89.62</v>
      </c>
      <c r="G476" t="s">
        <v>41</v>
      </c>
      <c r="H476" t="s">
        <v>77</v>
      </c>
      <c r="I476" t="s">
        <v>59</v>
      </c>
      <c r="J476" t="b">
        <v>0</v>
      </c>
      <c r="K476" t="s">
        <v>42</v>
      </c>
      <c r="L476" t="s">
        <v>38</v>
      </c>
      <c r="M476" t="s">
        <v>20</v>
      </c>
      <c r="N476">
        <f>YEAR(Table1[[#This Row],[Date]])</f>
        <v>2020</v>
      </c>
      <c r="O476" t="str">
        <f>TEXT(Table1[[#This Row],[Date]],"mmm")</f>
        <v>Mar</v>
      </c>
      <c r="P476" t="str">
        <f>IF(Table1[[#This Row],[Total_Cost]]&lt;25,"low",IF(Table1[[#This Row],[Total_Cost]]&lt;60,"medium","high"))</f>
        <v>high</v>
      </c>
      <c r="Q476" t="str">
        <f>IF(Table1[[#This Row],[Discount_Applied]]=TRUE,"discount applied","no discount")</f>
        <v>no discount</v>
      </c>
    </row>
    <row r="477" spans="1:17" x14ac:dyDescent="0.3">
      <c r="A477">
        <v>1000000475</v>
      </c>
      <c r="B477" s="1">
        <v>44445.570324074077</v>
      </c>
      <c r="C477" t="s">
        <v>949</v>
      </c>
      <c r="D477" t="s">
        <v>950</v>
      </c>
      <c r="E477">
        <v>1</v>
      </c>
      <c r="F477">
        <v>98.52</v>
      </c>
      <c r="G477" t="s">
        <v>15</v>
      </c>
      <c r="H477" t="s">
        <v>129</v>
      </c>
      <c r="I477" t="s">
        <v>59</v>
      </c>
      <c r="J477" t="b">
        <v>1</v>
      </c>
      <c r="K477" t="s">
        <v>47</v>
      </c>
      <c r="L477" t="s">
        <v>19</v>
      </c>
      <c r="M477" t="s">
        <v>20</v>
      </c>
      <c r="N477">
        <f>YEAR(Table1[[#This Row],[Date]])</f>
        <v>2021</v>
      </c>
      <c r="O477" t="str">
        <f>TEXT(Table1[[#This Row],[Date]],"mmm")</f>
        <v>Sep</v>
      </c>
      <c r="P477" t="str">
        <f>IF(Table1[[#This Row],[Total_Cost]]&lt;25,"low",IF(Table1[[#This Row],[Total_Cost]]&lt;60,"medium","high"))</f>
        <v>high</v>
      </c>
      <c r="Q477" t="str">
        <f>IF(Table1[[#This Row],[Discount_Applied]]=TRUE,"discount applied","no discount")</f>
        <v>discount applied</v>
      </c>
    </row>
    <row r="478" spans="1:17" x14ac:dyDescent="0.3">
      <c r="A478">
        <v>1000000476</v>
      </c>
      <c r="B478" s="1">
        <v>44644.979953703703</v>
      </c>
      <c r="C478" t="s">
        <v>951</v>
      </c>
      <c r="D478" t="s">
        <v>952</v>
      </c>
      <c r="E478">
        <v>8</v>
      </c>
      <c r="F478">
        <v>56.83</v>
      </c>
      <c r="G478" t="s">
        <v>15</v>
      </c>
      <c r="H478" t="s">
        <v>96</v>
      </c>
      <c r="I478" t="s">
        <v>59</v>
      </c>
      <c r="J478" t="b">
        <v>0</v>
      </c>
      <c r="K478" t="s">
        <v>47</v>
      </c>
      <c r="L478" t="s">
        <v>38</v>
      </c>
      <c r="M478" t="s">
        <v>43</v>
      </c>
      <c r="N478">
        <f>YEAR(Table1[[#This Row],[Date]])</f>
        <v>2022</v>
      </c>
      <c r="O478" t="str">
        <f>TEXT(Table1[[#This Row],[Date]],"mmm")</f>
        <v>Mar</v>
      </c>
      <c r="P478" t="str">
        <f>IF(Table1[[#This Row],[Total_Cost]]&lt;25,"low",IF(Table1[[#This Row],[Total_Cost]]&lt;60,"medium","high"))</f>
        <v>medium</v>
      </c>
      <c r="Q478" t="str">
        <f>IF(Table1[[#This Row],[Discount_Applied]]=TRUE,"discount applied","no discount")</f>
        <v>no discount</v>
      </c>
    </row>
    <row r="479" spans="1:17" x14ac:dyDescent="0.3">
      <c r="A479">
        <v>1000000477</v>
      </c>
      <c r="B479" s="1">
        <v>44290.683657407404</v>
      </c>
      <c r="C479" t="s">
        <v>953</v>
      </c>
      <c r="D479" t="s">
        <v>954</v>
      </c>
      <c r="E479">
        <v>2</v>
      </c>
      <c r="F479">
        <v>71.66</v>
      </c>
      <c r="G479" t="s">
        <v>23</v>
      </c>
      <c r="H479" t="s">
        <v>70</v>
      </c>
      <c r="I479" t="s">
        <v>25</v>
      </c>
      <c r="J479" t="b">
        <v>1</v>
      </c>
      <c r="K479" t="s">
        <v>47</v>
      </c>
      <c r="L479" t="s">
        <v>38</v>
      </c>
      <c r="M479" t="s">
        <v>28</v>
      </c>
      <c r="N479">
        <f>YEAR(Table1[[#This Row],[Date]])</f>
        <v>2021</v>
      </c>
      <c r="O479" t="str">
        <f>TEXT(Table1[[#This Row],[Date]],"mmm")</f>
        <v>Apr</v>
      </c>
      <c r="P479" t="str">
        <f>IF(Table1[[#This Row],[Total_Cost]]&lt;25,"low",IF(Table1[[#This Row],[Total_Cost]]&lt;60,"medium","high"))</f>
        <v>high</v>
      </c>
      <c r="Q479" t="str">
        <f>IF(Table1[[#This Row],[Discount_Applied]]=TRUE,"discount applied","no discount")</f>
        <v>discount applied</v>
      </c>
    </row>
    <row r="480" spans="1:17" x14ac:dyDescent="0.3">
      <c r="A480">
        <v>1000000478</v>
      </c>
      <c r="B480" s="1">
        <v>44949.185810185183</v>
      </c>
      <c r="C480" t="s">
        <v>955</v>
      </c>
      <c r="D480" t="s">
        <v>493</v>
      </c>
      <c r="E480">
        <v>9</v>
      </c>
      <c r="F480">
        <v>42.88</v>
      </c>
      <c r="G480" t="s">
        <v>41</v>
      </c>
      <c r="H480" t="s">
        <v>36</v>
      </c>
      <c r="I480" t="s">
        <v>33</v>
      </c>
      <c r="J480" t="b">
        <v>0</v>
      </c>
      <c r="K480" t="s">
        <v>62</v>
      </c>
      <c r="L480" t="s">
        <v>38</v>
      </c>
      <c r="M480" t="s">
        <v>43</v>
      </c>
      <c r="N480">
        <f>YEAR(Table1[[#This Row],[Date]])</f>
        <v>2023</v>
      </c>
      <c r="O480" t="str">
        <f>TEXT(Table1[[#This Row],[Date]],"mmm")</f>
        <v>Jan</v>
      </c>
      <c r="P480" t="str">
        <f>IF(Table1[[#This Row],[Total_Cost]]&lt;25,"low",IF(Table1[[#This Row],[Total_Cost]]&lt;60,"medium","high"))</f>
        <v>medium</v>
      </c>
      <c r="Q480" t="str">
        <f>IF(Table1[[#This Row],[Discount_Applied]]=TRUE,"discount applied","no discount")</f>
        <v>no discount</v>
      </c>
    </row>
    <row r="481" spans="1:17" x14ac:dyDescent="0.3">
      <c r="A481">
        <v>1000000479</v>
      </c>
      <c r="B481" s="1">
        <v>44512.447835648149</v>
      </c>
      <c r="C481" t="s">
        <v>956</v>
      </c>
      <c r="D481" t="s">
        <v>957</v>
      </c>
      <c r="E481">
        <v>9</v>
      </c>
      <c r="F481">
        <v>65.709999999999994</v>
      </c>
      <c r="G481" t="s">
        <v>23</v>
      </c>
      <c r="H481" t="s">
        <v>36</v>
      </c>
      <c r="I481" t="s">
        <v>17</v>
      </c>
      <c r="J481" t="b">
        <v>1</v>
      </c>
      <c r="K481" t="s">
        <v>42</v>
      </c>
      <c r="L481" t="s">
        <v>38</v>
      </c>
      <c r="M481" t="s">
        <v>28</v>
      </c>
      <c r="N481">
        <f>YEAR(Table1[[#This Row],[Date]])</f>
        <v>2021</v>
      </c>
      <c r="O481" t="str">
        <f>TEXT(Table1[[#This Row],[Date]],"mmm")</f>
        <v>Nov</v>
      </c>
      <c r="P481" t="str">
        <f>IF(Table1[[#This Row],[Total_Cost]]&lt;25,"low",IF(Table1[[#This Row],[Total_Cost]]&lt;60,"medium","high"))</f>
        <v>high</v>
      </c>
      <c r="Q481" t="str">
        <f>IF(Table1[[#This Row],[Discount_Applied]]=TRUE,"discount applied","no discount")</f>
        <v>discount applied</v>
      </c>
    </row>
    <row r="482" spans="1:17" x14ac:dyDescent="0.3">
      <c r="A482">
        <v>1000000480</v>
      </c>
      <c r="B482" s="1">
        <v>45257.466550925928</v>
      </c>
      <c r="C482" t="s">
        <v>958</v>
      </c>
      <c r="D482" t="s">
        <v>959</v>
      </c>
      <c r="E482">
        <v>6</v>
      </c>
      <c r="F482">
        <v>61.61</v>
      </c>
      <c r="G482" t="s">
        <v>31</v>
      </c>
      <c r="H482" t="s">
        <v>70</v>
      </c>
      <c r="I482" t="s">
        <v>59</v>
      </c>
      <c r="J482" t="b">
        <v>1</v>
      </c>
      <c r="K482" t="s">
        <v>80</v>
      </c>
      <c r="L482" t="s">
        <v>27</v>
      </c>
      <c r="M482" t="s">
        <v>20</v>
      </c>
      <c r="N482">
        <f>YEAR(Table1[[#This Row],[Date]])</f>
        <v>2023</v>
      </c>
      <c r="O482" t="str">
        <f>TEXT(Table1[[#This Row],[Date]],"mmm")</f>
        <v>Nov</v>
      </c>
      <c r="P482" t="str">
        <f>IF(Table1[[#This Row],[Total_Cost]]&lt;25,"low",IF(Table1[[#This Row],[Total_Cost]]&lt;60,"medium","high"))</f>
        <v>high</v>
      </c>
      <c r="Q482" t="str">
        <f>IF(Table1[[#This Row],[Discount_Applied]]=TRUE,"discount applied","no discount")</f>
        <v>discount applied</v>
      </c>
    </row>
    <row r="483" spans="1:17" x14ac:dyDescent="0.3">
      <c r="A483">
        <v>1000000481</v>
      </c>
      <c r="B483" s="1">
        <v>44130.658495370371</v>
      </c>
      <c r="C483" t="s">
        <v>960</v>
      </c>
      <c r="D483" t="s">
        <v>961</v>
      </c>
      <c r="E483">
        <v>8</v>
      </c>
      <c r="F483">
        <v>76.45</v>
      </c>
      <c r="G483" t="s">
        <v>31</v>
      </c>
      <c r="H483" t="s">
        <v>24</v>
      </c>
      <c r="I483" t="s">
        <v>37</v>
      </c>
      <c r="J483" t="b">
        <v>0</v>
      </c>
      <c r="K483" t="s">
        <v>62</v>
      </c>
      <c r="L483" t="s">
        <v>19</v>
      </c>
      <c r="M483" t="s">
        <v>20</v>
      </c>
      <c r="N483">
        <f>YEAR(Table1[[#This Row],[Date]])</f>
        <v>2020</v>
      </c>
      <c r="O483" t="str">
        <f>TEXT(Table1[[#This Row],[Date]],"mmm")</f>
        <v>Oct</v>
      </c>
      <c r="P483" t="str">
        <f>IF(Table1[[#This Row],[Total_Cost]]&lt;25,"low",IF(Table1[[#This Row],[Total_Cost]]&lt;60,"medium","high"))</f>
        <v>high</v>
      </c>
      <c r="Q483" t="str">
        <f>IF(Table1[[#This Row],[Discount_Applied]]=TRUE,"discount applied","no discount")</f>
        <v>no discount</v>
      </c>
    </row>
    <row r="484" spans="1:17" x14ac:dyDescent="0.3">
      <c r="A484">
        <v>1000000482</v>
      </c>
      <c r="B484" s="1">
        <v>44013.301655092589</v>
      </c>
      <c r="C484" t="s">
        <v>962</v>
      </c>
      <c r="D484" t="s">
        <v>963</v>
      </c>
      <c r="E484">
        <v>9</v>
      </c>
      <c r="F484">
        <v>91</v>
      </c>
      <c r="G484" t="s">
        <v>31</v>
      </c>
      <c r="H484" t="s">
        <v>16</v>
      </c>
      <c r="I484" t="s">
        <v>17</v>
      </c>
      <c r="J484" t="b">
        <v>0</v>
      </c>
      <c r="K484" t="s">
        <v>87</v>
      </c>
      <c r="L484" t="s">
        <v>52</v>
      </c>
      <c r="M484" t="s">
        <v>43</v>
      </c>
      <c r="N484">
        <f>YEAR(Table1[[#This Row],[Date]])</f>
        <v>2020</v>
      </c>
      <c r="O484" t="str">
        <f>TEXT(Table1[[#This Row],[Date]],"mmm")</f>
        <v>Jul</v>
      </c>
      <c r="P484" t="str">
        <f>IF(Table1[[#This Row],[Total_Cost]]&lt;25,"low",IF(Table1[[#This Row],[Total_Cost]]&lt;60,"medium","high"))</f>
        <v>high</v>
      </c>
      <c r="Q484" t="str">
        <f>IF(Table1[[#This Row],[Discount_Applied]]=TRUE,"discount applied","no discount")</f>
        <v>no discount</v>
      </c>
    </row>
    <row r="485" spans="1:17" x14ac:dyDescent="0.3">
      <c r="A485">
        <v>1000000483</v>
      </c>
      <c r="B485" s="1">
        <v>44697.097696759258</v>
      </c>
      <c r="C485" t="s">
        <v>964</v>
      </c>
      <c r="D485" t="s">
        <v>965</v>
      </c>
      <c r="E485">
        <v>6</v>
      </c>
      <c r="F485">
        <v>20.170000000000002</v>
      </c>
      <c r="G485" t="s">
        <v>41</v>
      </c>
      <c r="H485" t="s">
        <v>96</v>
      </c>
      <c r="I485" t="s">
        <v>37</v>
      </c>
      <c r="J485" t="b">
        <v>1</v>
      </c>
      <c r="K485" t="s">
        <v>47</v>
      </c>
      <c r="L485" t="s">
        <v>38</v>
      </c>
      <c r="M485" t="s">
        <v>43</v>
      </c>
      <c r="N485">
        <f>YEAR(Table1[[#This Row],[Date]])</f>
        <v>2022</v>
      </c>
      <c r="O485" t="str">
        <f>TEXT(Table1[[#This Row],[Date]],"mmm")</f>
        <v>May</v>
      </c>
      <c r="P485" t="str">
        <f>IF(Table1[[#This Row],[Total_Cost]]&lt;25,"low",IF(Table1[[#This Row],[Total_Cost]]&lt;60,"medium","high"))</f>
        <v>low</v>
      </c>
      <c r="Q485" t="str">
        <f>IF(Table1[[#This Row],[Discount_Applied]]=TRUE,"discount applied","no discount")</f>
        <v>discount applied</v>
      </c>
    </row>
    <row r="486" spans="1:17" x14ac:dyDescent="0.3">
      <c r="A486">
        <v>1000000484</v>
      </c>
      <c r="B486" s="1">
        <v>45021.184212962966</v>
      </c>
      <c r="C486" t="s">
        <v>966</v>
      </c>
      <c r="D486" t="s">
        <v>967</v>
      </c>
      <c r="E486">
        <v>1</v>
      </c>
      <c r="F486">
        <v>62</v>
      </c>
      <c r="G486" t="s">
        <v>15</v>
      </c>
      <c r="H486" t="s">
        <v>129</v>
      </c>
      <c r="I486" t="s">
        <v>33</v>
      </c>
      <c r="J486" t="b">
        <v>0</v>
      </c>
      <c r="K486" t="s">
        <v>80</v>
      </c>
      <c r="L486" t="s">
        <v>52</v>
      </c>
      <c r="M486" t="s">
        <v>20</v>
      </c>
      <c r="N486">
        <f>YEAR(Table1[[#This Row],[Date]])</f>
        <v>2023</v>
      </c>
      <c r="O486" t="str">
        <f>TEXT(Table1[[#This Row],[Date]],"mmm")</f>
        <v>Apr</v>
      </c>
      <c r="P486" t="str">
        <f>IF(Table1[[#This Row],[Total_Cost]]&lt;25,"low",IF(Table1[[#This Row],[Total_Cost]]&lt;60,"medium","high"))</f>
        <v>high</v>
      </c>
      <c r="Q486" t="str">
        <f>IF(Table1[[#This Row],[Discount_Applied]]=TRUE,"discount applied","no discount")</f>
        <v>no discount</v>
      </c>
    </row>
    <row r="487" spans="1:17" x14ac:dyDescent="0.3">
      <c r="A487">
        <v>1000000485</v>
      </c>
      <c r="B487" s="1">
        <v>45209.342939814815</v>
      </c>
      <c r="C487" t="s">
        <v>968</v>
      </c>
      <c r="D487" t="s">
        <v>969</v>
      </c>
      <c r="E487">
        <v>1</v>
      </c>
      <c r="F487">
        <v>6.93</v>
      </c>
      <c r="G487" t="s">
        <v>23</v>
      </c>
      <c r="H487" t="s">
        <v>96</v>
      </c>
      <c r="I487" t="s">
        <v>46</v>
      </c>
      <c r="J487" t="b">
        <v>0</v>
      </c>
      <c r="K487" t="s">
        <v>80</v>
      </c>
      <c r="L487" t="s">
        <v>19</v>
      </c>
      <c r="M487" t="s">
        <v>43</v>
      </c>
      <c r="N487">
        <f>YEAR(Table1[[#This Row],[Date]])</f>
        <v>2023</v>
      </c>
      <c r="O487" t="str">
        <f>TEXT(Table1[[#This Row],[Date]],"mmm")</f>
        <v>Oct</v>
      </c>
      <c r="P487" t="str">
        <f>IF(Table1[[#This Row],[Total_Cost]]&lt;25,"low",IF(Table1[[#This Row],[Total_Cost]]&lt;60,"medium","high"))</f>
        <v>low</v>
      </c>
      <c r="Q487" t="str">
        <f>IF(Table1[[#This Row],[Discount_Applied]]=TRUE,"discount applied","no discount")</f>
        <v>no discount</v>
      </c>
    </row>
    <row r="488" spans="1:17" x14ac:dyDescent="0.3">
      <c r="A488">
        <v>1000000486</v>
      </c>
      <c r="B488" s="1">
        <v>44944.41207175926</v>
      </c>
      <c r="C488" t="s">
        <v>970</v>
      </c>
      <c r="D488" t="s">
        <v>971</v>
      </c>
      <c r="E488">
        <v>10</v>
      </c>
      <c r="F488">
        <v>71.38</v>
      </c>
      <c r="G488" t="s">
        <v>15</v>
      </c>
      <c r="H488" t="s">
        <v>36</v>
      </c>
      <c r="I488" t="s">
        <v>59</v>
      </c>
      <c r="J488" t="b">
        <v>0</v>
      </c>
      <c r="K488" t="s">
        <v>26</v>
      </c>
      <c r="L488" t="s">
        <v>19</v>
      </c>
      <c r="M488" t="s">
        <v>28</v>
      </c>
      <c r="N488">
        <f>YEAR(Table1[[#This Row],[Date]])</f>
        <v>2023</v>
      </c>
      <c r="O488" t="str">
        <f>TEXT(Table1[[#This Row],[Date]],"mmm")</f>
        <v>Jan</v>
      </c>
      <c r="P488" t="str">
        <f>IF(Table1[[#This Row],[Total_Cost]]&lt;25,"low",IF(Table1[[#This Row],[Total_Cost]]&lt;60,"medium","high"))</f>
        <v>high</v>
      </c>
      <c r="Q488" t="str">
        <f>IF(Table1[[#This Row],[Discount_Applied]]=TRUE,"discount applied","no discount")</f>
        <v>no discount</v>
      </c>
    </row>
    <row r="489" spans="1:17" x14ac:dyDescent="0.3">
      <c r="A489">
        <v>1000000487</v>
      </c>
      <c r="B489" s="1">
        <v>44001.060497685183</v>
      </c>
      <c r="C489" t="s">
        <v>972</v>
      </c>
      <c r="D489" t="s">
        <v>973</v>
      </c>
      <c r="E489">
        <v>4</v>
      </c>
      <c r="F489">
        <v>49.72</v>
      </c>
      <c r="G489" t="s">
        <v>41</v>
      </c>
      <c r="H489" t="s">
        <v>24</v>
      </c>
      <c r="I489" t="s">
        <v>25</v>
      </c>
      <c r="J489" t="b">
        <v>0</v>
      </c>
      <c r="K489" t="s">
        <v>62</v>
      </c>
      <c r="L489" t="s">
        <v>27</v>
      </c>
      <c r="M489" t="s">
        <v>20</v>
      </c>
      <c r="N489">
        <f>YEAR(Table1[[#This Row],[Date]])</f>
        <v>2020</v>
      </c>
      <c r="O489" t="str">
        <f>TEXT(Table1[[#This Row],[Date]],"mmm")</f>
        <v>Jun</v>
      </c>
      <c r="P489" t="str">
        <f>IF(Table1[[#This Row],[Total_Cost]]&lt;25,"low",IF(Table1[[#This Row],[Total_Cost]]&lt;60,"medium","high"))</f>
        <v>medium</v>
      </c>
      <c r="Q489" t="str">
        <f>IF(Table1[[#This Row],[Discount_Applied]]=TRUE,"discount applied","no discount")</f>
        <v>no discount</v>
      </c>
    </row>
    <row r="490" spans="1:17" x14ac:dyDescent="0.3">
      <c r="A490">
        <v>1000000488</v>
      </c>
      <c r="B490" s="1">
        <v>44268.233912037038</v>
      </c>
      <c r="C490" t="s">
        <v>974</v>
      </c>
      <c r="D490" t="s">
        <v>975</v>
      </c>
      <c r="E490">
        <v>7</v>
      </c>
      <c r="F490">
        <v>26.82</v>
      </c>
      <c r="G490" t="s">
        <v>23</v>
      </c>
      <c r="H490" t="s">
        <v>32</v>
      </c>
      <c r="I490" t="s">
        <v>59</v>
      </c>
      <c r="J490" t="b">
        <v>1</v>
      </c>
      <c r="K490" t="s">
        <v>62</v>
      </c>
      <c r="L490" t="s">
        <v>27</v>
      </c>
      <c r="M490" t="s">
        <v>20</v>
      </c>
      <c r="N490">
        <f>YEAR(Table1[[#This Row],[Date]])</f>
        <v>2021</v>
      </c>
      <c r="O490" t="str">
        <f>TEXT(Table1[[#This Row],[Date]],"mmm")</f>
        <v>Mar</v>
      </c>
      <c r="P490" t="str">
        <f>IF(Table1[[#This Row],[Total_Cost]]&lt;25,"low",IF(Table1[[#This Row],[Total_Cost]]&lt;60,"medium","high"))</f>
        <v>medium</v>
      </c>
      <c r="Q490" t="str">
        <f>IF(Table1[[#This Row],[Discount_Applied]]=TRUE,"discount applied","no discount")</f>
        <v>discount applied</v>
      </c>
    </row>
    <row r="491" spans="1:17" x14ac:dyDescent="0.3">
      <c r="A491">
        <v>1000000489</v>
      </c>
      <c r="B491" s="1">
        <v>45271.974444444444</v>
      </c>
      <c r="C491" t="s">
        <v>976</v>
      </c>
      <c r="D491" t="s">
        <v>977</v>
      </c>
      <c r="E491">
        <v>3</v>
      </c>
      <c r="F491">
        <v>7.78</v>
      </c>
      <c r="G491" t="s">
        <v>15</v>
      </c>
      <c r="H491" t="s">
        <v>65</v>
      </c>
      <c r="I491" t="s">
        <v>46</v>
      </c>
      <c r="J491" t="b">
        <v>0</v>
      </c>
      <c r="K491" t="s">
        <v>18</v>
      </c>
      <c r="L491" t="s">
        <v>52</v>
      </c>
      <c r="M491" t="s">
        <v>28</v>
      </c>
      <c r="N491">
        <f>YEAR(Table1[[#This Row],[Date]])</f>
        <v>2023</v>
      </c>
      <c r="O491" t="str">
        <f>TEXT(Table1[[#This Row],[Date]],"mmm")</f>
        <v>Dec</v>
      </c>
      <c r="P491" t="str">
        <f>IF(Table1[[#This Row],[Total_Cost]]&lt;25,"low",IF(Table1[[#This Row],[Total_Cost]]&lt;60,"medium","high"))</f>
        <v>low</v>
      </c>
      <c r="Q491" t="str">
        <f>IF(Table1[[#This Row],[Discount_Applied]]=TRUE,"discount applied","no discount")</f>
        <v>no discount</v>
      </c>
    </row>
    <row r="492" spans="1:17" x14ac:dyDescent="0.3">
      <c r="A492">
        <v>1000000490</v>
      </c>
      <c r="B492" s="1">
        <v>45296.520613425928</v>
      </c>
      <c r="C492" t="s">
        <v>978</v>
      </c>
      <c r="D492" t="s">
        <v>979</v>
      </c>
      <c r="E492">
        <v>7</v>
      </c>
      <c r="F492">
        <v>29.65</v>
      </c>
      <c r="G492" t="s">
        <v>31</v>
      </c>
      <c r="H492" t="s">
        <v>70</v>
      </c>
      <c r="I492" t="s">
        <v>59</v>
      </c>
      <c r="J492" t="b">
        <v>0</v>
      </c>
      <c r="K492" t="s">
        <v>87</v>
      </c>
      <c r="L492" t="s">
        <v>19</v>
      </c>
      <c r="M492" t="s">
        <v>28</v>
      </c>
      <c r="N492">
        <f>YEAR(Table1[[#This Row],[Date]])</f>
        <v>2024</v>
      </c>
      <c r="O492" t="str">
        <f>TEXT(Table1[[#This Row],[Date]],"mmm")</f>
        <v>Jan</v>
      </c>
      <c r="P492" t="str">
        <f>IF(Table1[[#This Row],[Total_Cost]]&lt;25,"low",IF(Table1[[#This Row],[Total_Cost]]&lt;60,"medium","high"))</f>
        <v>medium</v>
      </c>
      <c r="Q492" t="str">
        <f>IF(Table1[[#This Row],[Discount_Applied]]=TRUE,"discount applied","no discount")</f>
        <v>no discount</v>
      </c>
    </row>
    <row r="493" spans="1:17" x14ac:dyDescent="0.3">
      <c r="A493">
        <v>1000000491</v>
      </c>
      <c r="B493" s="1">
        <v>44617.115497685183</v>
      </c>
      <c r="C493" t="s">
        <v>980</v>
      </c>
      <c r="D493" t="s">
        <v>981</v>
      </c>
      <c r="E493">
        <v>2</v>
      </c>
      <c r="F493">
        <v>16.760000000000002</v>
      </c>
      <c r="G493" t="s">
        <v>31</v>
      </c>
      <c r="H493" t="s">
        <v>129</v>
      </c>
      <c r="I493" t="s">
        <v>17</v>
      </c>
      <c r="J493" t="b">
        <v>0</v>
      </c>
      <c r="K493" t="s">
        <v>47</v>
      </c>
      <c r="L493" t="s">
        <v>27</v>
      </c>
      <c r="M493" t="s">
        <v>43</v>
      </c>
      <c r="N493">
        <f>YEAR(Table1[[#This Row],[Date]])</f>
        <v>2022</v>
      </c>
      <c r="O493" t="str">
        <f>TEXT(Table1[[#This Row],[Date]],"mmm")</f>
        <v>Feb</v>
      </c>
      <c r="P493" t="str">
        <f>IF(Table1[[#This Row],[Total_Cost]]&lt;25,"low",IF(Table1[[#This Row],[Total_Cost]]&lt;60,"medium","high"))</f>
        <v>low</v>
      </c>
      <c r="Q493" t="str">
        <f>IF(Table1[[#This Row],[Discount_Applied]]=TRUE,"discount applied","no discount")</f>
        <v>no discount</v>
      </c>
    </row>
    <row r="494" spans="1:17" x14ac:dyDescent="0.3">
      <c r="A494">
        <v>1000000492</v>
      </c>
      <c r="B494" s="1">
        <v>44540.923101851855</v>
      </c>
      <c r="C494" t="s">
        <v>982</v>
      </c>
      <c r="D494" t="s">
        <v>40</v>
      </c>
      <c r="E494">
        <v>1</v>
      </c>
      <c r="F494">
        <v>69.84</v>
      </c>
      <c r="G494" t="s">
        <v>23</v>
      </c>
      <c r="H494" t="s">
        <v>77</v>
      </c>
      <c r="I494" t="s">
        <v>33</v>
      </c>
      <c r="J494" t="b">
        <v>0</v>
      </c>
      <c r="K494" t="s">
        <v>42</v>
      </c>
      <c r="L494" t="s">
        <v>19</v>
      </c>
      <c r="M494" t="s">
        <v>20</v>
      </c>
      <c r="N494">
        <f>YEAR(Table1[[#This Row],[Date]])</f>
        <v>2021</v>
      </c>
      <c r="O494" t="str">
        <f>TEXT(Table1[[#This Row],[Date]],"mmm")</f>
        <v>Dec</v>
      </c>
      <c r="P494" t="str">
        <f>IF(Table1[[#This Row],[Total_Cost]]&lt;25,"low",IF(Table1[[#This Row],[Total_Cost]]&lt;60,"medium","high"))</f>
        <v>high</v>
      </c>
      <c r="Q494" t="str">
        <f>IF(Table1[[#This Row],[Discount_Applied]]=TRUE,"discount applied","no discount")</f>
        <v>no discount</v>
      </c>
    </row>
    <row r="495" spans="1:17" x14ac:dyDescent="0.3">
      <c r="A495">
        <v>1000000493</v>
      </c>
      <c r="B495" s="1">
        <v>44476.582719907405</v>
      </c>
      <c r="C495" t="s">
        <v>983</v>
      </c>
      <c r="D495" t="s">
        <v>984</v>
      </c>
      <c r="E495">
        <v>10</v>
      </c>
      <c r="F495">
        <v>44.87</v>
      </c>
      <c r="G495" t="s">
        <v>31</v>
      </c>
      <c r="H495" t="s">
        <v>16</v>
      </c>
      <c r="I495" t="s">
        <v>46</v>
      </c>
      <c r="J495" t="b">
        <v>0</v>
      </c>
      <c r="K495" t="s">
        <v>87</v>
      </c>
      <c r="L495" t="s">
        <v>38</v>
      </c>
      <c r="M495" t="s">
        <v>28</v>
      </c>
      <c r="N495">
        <f>YEAR(Table1[[#This Row],[Date]])</f>
        <v>2021</v>
      </c>
      <c r="O495" t="str">
        <f>TEXT(Table1[[#This Row],[Date]],"mmm")</f>
        <v>Oct</v>
      </c>
      <c r="P495" t="str">
        <f>IF(Table1[[#This Row],[Total_Cost]]&lt;25,"low",IF(Table1[[#This Row],[Total_Cost]]&lt;60,"medium","high"))</f>
        <v>medium</v>
      </c>
      <c r="Q495" t="str">
        <f>IF(Table1[[#This Row],[Discount_Applied]]=TRUE,"discount applied","no discount")</f>
        <v>no discount</v>
      </c>
    </row>
    <row r="496" spans="1:17" x14ac:dyDescent="0.3">
      <c r="A496">
        <v>1000000494</v>
      </c>
      <c r="B496" s="1">
        <v>45387.364224537036</v>
      </c>
      <c r="C496" t="s">
        <v>985</v>
      </c>
      <c r="D496" t="s">
        <v>986</v>
      </c>
      <c r="E496">
        <v>3</v>
      </c>
      <c r="F496">
        <v>41.59</v>
      </c>
      <c r="G496" t="s">
        <v>31</v>
      </c>
      <c r="H496" t="s">
        <v>16</v>
      </c>
      <c r="I496" t="s">
        <v>33</v>
      </c>
      <c r="J496" t="b">
        <v>0</v>
      </c>
      <c r="K496" t="s">
        <v>87</v>
      </c>
      <c r="L496" t="s">
        <v>38</v>
      </c>
      <c r="M496" t="s">
        <v>28</v>
      </c>
      <c r="N496">
        <f>YEAR(Table1[[#This Row],[Date]])</f>
        <v>2024</v>
      </c>
      <c r="O496" t="str">
        <f>TEXT(Table1[[#This Row],[Date]],"mmm")</f>
        <v>Apr</v>
      </c>
      <c r="P496" t="str">
        <f>IF(Table1[[#This Row],[Total_Cost]]&lt;25,"low",IF(Table1[[#This Row],[Total_Cost]]&lt;60,"medium","high"))</f>
        <v>medium</v>
      </c>
      <c r="Q496" t="str">
        <f>IF(Table1[[#This Row],[Discount_Applied]]=TRUE,"discount applied","no discount")</f>
        <v>no discount</v>
      </c>
    </row>
    <row r="497" spans="1:17" x14ac:dyDescent="0.3">
      <c r="A497">
        <v>1000000495</v>
      </c>
      <c r="B497" s="1">
        <v>45298.109548611108</v>
      </c>
      <c r="C497" t="s">
        <v>987</v>
      </c>
      <c r="D497" t="s">
        <v>988</v>
      </c>
      <c r="E497">
        <v>8</v>
      </c>
      <c r="F497">
        <v>6.12</v>
      </c>
      <c r="G497" t="s">
        <v>23</v>
      </c>
      <c r="H497" t="s">
        <v>24</v>
      </c>
      <c r="I497" t="s">
        <v>25</v>
      </c>
      <c r="J497" t="b">
        <v>1</v>
      </c>
      <c r="K497" t="s">
        <v>51</v>
      </c>
      <c r="L497" t="s">
        <v>38</v>
      </c>
      <c r="M497" t="s">
        <v>20</v>
      </c>
      <c r="N497">
        <f>YEAR(Table1[[#This Row],[Date]])</f>
        <v>2024</v>
      </c>
      <c r="O497" t="str">
        <f>TEXT(Table1[[#This Row],[Date]],"mmm")</f>
        <v>Jan</v>
      </c>
      <c r="P497" t="str">
        <f>IF(Table1[[#This Row],[Total_Cost]]&lt;25,"low",IF(Table1[[#This Row],[Total_Cost]]&lt;60,"medium","high"))</f>
        <v>low</v>
      </c>
      <c r="Q497" t="str">
        <f>IF(Table1[[#This Row],[Discount_Applied]]=TRUE,"discount applied","no discount")</f>
        <v>discount applied</v>
      </c>
    </row>
    <row r="498" spans="1:17" x14ac:dyDescent="0.3">
      <c r="A498">
        <v>1000000496</v>
      </c>
      <c r="B498" s="1">
        <v>45073.589456018519</v>
      </c>
      <c r="C498" t="s">
        <v>989</v>
      </c>
      <c r="D498" t="s">
        <v>990</v>
      </c>
      <c r="E498">
        <v>2</v>
      </c>
      <c r="F498">
        <v>54.15</v>
      </c>
      <c r="G498" t="s">
        <v>41</v>
      </c>
      <c r="H498" t="s">
        <v>24</v>
      </c>
      <c r="I498" t="s">
        <v>59</v>
      </c>
      <c r="J498" t="b">
        <v>1</v>
      </c>
      <c r="K498" t="s">
        <v>51</v>
      </c>
      <c r="L498" t="s">
        <v>38</v>
      </c>
      <c r="M498" t="s">
        <v>20</v>
      </c>
      <c r="N498">
        <f>YEAR(Table1[[#This Row],[Date]])</f>
        <v>2023</v>
      </c>
      <c r="O498" t="str">
        <f>TEXT(Table1[[#This Row],[Date]],"mmm")</f>
        <v>May</v>
      </c>
      <c r="P498" t="str">
        <f>IF(Table1[[#This Row],[Total_Cost]]&lt;25,"low",IF(Table1[[#This Row],[Total_Cost]]&lt;60,"medium","high"))</f>
        <v>medium</v>
      </c>
      <c r="Q498" t="str">
        <f>IF(Table1[[#This Row],[Discount_Applied]]=TRUE,"discount applied","no discount")</f>
        <v>discount applied</v>
      </c>
    </row>
    <row r="499" spans="1:17" x14ac:dyDescent="0.3">
      <c r="A499">
        <v>1000000497</v>
      </c>
      <c r="B499" s="1">
        <v>44159.052997685183</v>
      </c>
      <c r="C499" t="s">
        <v>991</v>
      </c>
      <c r="D499" t="s">
        <v>992</v>
      </c>
      <c r="E499">
        <v>7</v>
      </c>
      <c r="F499">
        <v>58.57</v>
      </c>
      <c r="G499" t="s">
        <v>31</v>
      </c>
      <c r="H499" t="s">
        <v>77</v>
      </c>
      <c r="I499" t="s">
        <v>46</v>
      </c>
      <c r="J499" t="b">
        <v>0</v>
      </c>
      <c r="K499" t="s">
        <v>51</v>
      </c>
      <c r="L499" t="s">
        <v>19</v>
      </c>
      <c r="M499" t="s">
        <v>20</v>
      </c>
      <c r="N499">
        <f>YEAR(Table1[[#This Row],[Date]])</f>
        <v>2020</v>
      </c>
      <c r="O499" t="str">
        <f>TEXT(Table1[[#This Row],[Date]],"mmm")</f>
        <v>Nov</v>
      </c>
      <c r="P499" t="str">
        <f>IF(Table1[[#This Row],[Total_Cost]]&lt;25,"low",IF(Table1[[#This Row],[Total_Cost]]&lt;60,"medium","high"))</f>
        <v>medium</v>
      </c>
      <c r="Q499" t="str">
        <f>IF(Table1[[#This Row],[Discount_Applied]]=TRUE,"discount applied","no discount")</f>
        <v>no discount</v>
      </c>
    </row>
    <row r="500" spans="1:17" x14ac:dyDescent="0.3">
      <c r="A500">
        <v>1000000498</v>
      </c>
      <c r="B500" s="1">
        <v>45117.220995370371</v>
      </c>
      <c r="C500" t="s">
        <v>993</v>
      </c>
      <c r="D500" t="s">
        <v>994</v>
      </c>
      <c r="E500">
        <v>2</v>
      </c>
      <c r="F500">
        <v>97.37</v>
      </c>
      <c r="G500" t="s">
        <v>23</v>
      </c>
      <c r="H500" t="s">
        <v>96</v>
      </c>
      <c r="I500" t="s">
        <v>25</v>
      </c>
      <c r="J500" t="b">
        <v>1</v>
      </c>
      <c r="K500" t="s">
        <v>51</v>
      </c>
      <c r="L500" t="s">
        <v>38</v>
      </c>
      <c r="M500" t="s">
        <v>28</v>
      </c>
      <c r="N500">
        <f>YEAR(Table1[[#This Row],[Date]])</f>
        <v>2023</v>
      </c>
      <c r="O500" t="str">
        <f>TEXT(Table1[[#This Row],[Date]],"mmm")</f>
        <v>Jul</v>
      </c>
      <c r="P500" t="str">
        <f>IF(Table1[[#This Row],[Total_Cost]]&lt;25,"low",IF(Table1[[#This Row],[Total_Cost]]&lt;60,"medium","high"))</f>
        <v>high</v>
      </c>
      <c r="Q500" t="str">
        <f>IF(Table1[[#This Row],[Discount_Applied]]=TRUE,"discount applied","no discount")</f>
        <v>discount applied</v>
      </c>
    </row>
    <row r="501" spans="1:17" x14ac:dyDescent="0.3">
      <c r="A501">
        <v>1000000499</v>
      </c>
      <c r="B501" s="1">
        <v>45248.20108796296</v>
      </c>
      <c r="C501" t="s">
        <v>995</v>
      </c>
      <c r="D501" t="s">
        <v>996</v>
      </c>
      <c r="E501">
        <v>10</v>
      </c>
      <c r="F501">
        <v>18.18</v>
      </c>
      <c r="G501" t="s">
        <v>23</v>
      </c>
      <c r="H501" t="s">
        <v>70</v>
      </c>
      <c r="I501" t="s">
        <v>17</v>
      </c>
      <c r="J501" t="b">
        <v>0</v>
      </c>
      <c r="K501" t="s">
        <v>80</v>
      </c>
      <c r="L501" t="s">
        <v>38</v>
      </c>
      <c r="M501" t="s">
        <v>28</v>
      </c>
      <c r="N501">
        <f>YEAR(Table1[[#This Row],[Date]])</f>
        <v>2023</v>
      </c>
      <c r="O501" t="str">
        <f>TEXT(Table1[[#This Row],[Date]],"mmm")</f>
        <v>Nov</v>
      </c>
      <c r="P501" t="str">
        <f>IF(Table1[[#This Row],[Total_Cost]]&lt;25,"low",IF(Table1[[#This Row],[Total_Cost]]&lt;60,"medium","high"))</f>
        <v>low</v>
      </c>
      <c r="Q501" t="str">
        <f>IF(Table1[[#This Row],[Discount_Applied]]=TRUE,"discount applied","no discount")</f>
        <v>no discount</v>
      </c>
    </row>
    <row r="502" spans="1:17" x14ac:dyDescent="0.3">
      <c r="A502">
        <v>1000000500</v>
      </c>
      <c r="B502" s="1">
        <v>44648.212534722225</v>
      </c>
      <c r="C502" t="s">
        <v>997</v>
      </c>
      <c r="D502" t="s">
        <v>998</v>
      </c>
      <c r="E502">
        <v>2</v>
      </c>
      <c r="F502">
        <v>21.45</v>
      </c>
      <c r="G502" t="s">
        <v>15</v>
      </c>
      <c r="H502" t="s">
        <v>129</v>
      </c>
      <c r="I502" t="s">
        <v>17</v>
      </c>
      <c r="J502" t="b">
        <v>1</v>
      </c>
      <c r="K502" t="s">
        <v>42</v>
      </c>
      <c r="L502" t="s">
        <v>38</v>
      </c>
      <c r="M502" t="s">
        <v>20</v>
      </c>
      <c r="N502">
        <f>YEAR(Table1[[#This Row],[Date]])</f>
        <v>2022</v>
      </c>
      <c r="O502" t="str">
        <f>TEXT(Table1[[#This Row],[Date]],"mmm")</f>
        <v>Mar</v>
      </c>
      <c r="P502" t="str">
        <f>IF(Table1[[#This Row],[Total_Cost]]&lt;25,"low",IF(Table1[[#This Row],[Total_Cost]]&lt;60,"medium","high"))</f>
        <v>low</v>
      </c>
      <c r="Q502" t="str">
        <f>IF(Table1[[#This Row],[Discount_Applied]]=TRUE,"discount applied","no discount")</f>
        <v>discount applied</v>
      </c>
    </row>
    <row r="503" spans="1:17" x14ac:dyDescent="0.3">
      <c r="A503">
        <v>1000000501</v>
      </c>
      <c r="B503" s="1">
        <v>44187.611597222225</v>
      </c>
      <c r="C503" t="s">
        <v>999</v>
      </c>
      <c r="D503" t="s">
        <v>1000</v>
      </c>
      <c r="E503">
        <v>8</v>
      </c>
      <c r="F503">
        <v>41.27</v>
      </c>
      <c r="G503" t="s">
        <v>41</v>
      </c>
      <c r="H503" t="s">
        <v>65</v>
      </c>
      <c r="I503" t="s">
        <v>33</v>
      </c>
      <c r="J503" t="b">
        <v>0</v>
      </c>
      <c r="K503" t="s">
        <v>47</v>
      </c>
      <c r="L503" t="s">
        <v>27</v>
      </c>
      <c r="M503" t="s">
        <v>20</v>
      </c>
      <c r="N503">
        <f>YEAR(Table1[[#This Row],[Date]])</f>
        <v>2020</v>
      </c>
      <c r="O503" t="str">
        <f>TEXT(Table1[[#This Row],[Date]],"mmm")</f>
        <v>Dec</v>
      </c>
      <c r="P503" t="str">
        <f>IF(Table1[[#This Row],[Total_Cost]]&lt;25,"low",IF(Table1[[#This Row],[Total_Cost]]&lt;60,"medium","high"))</f>
        <v>medium</v>
      </c>
      <c r="Q503" t="str">
        <f>IF(Table1[[#This Row],[Discount_Applied]]=TRUE,"discount applied","no discount")</f>
        <v>no discount</v>
      </c>
    </row>
    <row r="504" spans="1:17" x14ac:dyDescent="0.3">
      <c r="A504">
        <v>1000000502</v>
      </c>
      <c r="B504" s="1">
        <v>43910.486608796295</v>
      </c>
      <c r="C504" t="s">
        <v>1001</v>
      </c>
      <c r="D504" t="s">
        <v>1002</v>
      </c>
      <c r="E504">
        <v>10</v>
      </c>
      <c r="F504">
        <v>96.91</v>
      </c>
      <c r="G504" t="s">
        <v>15</v>
      </c>
      <c r="H504" t="s">
        <v>24</v>
      </c>
      <c r="I504" t="s">
        <v>33</v>
      </c>
      <c r="J504" t="b">
        <v>1</v>
      </c>
      <c r="K504" t="s">
        <v>80</v>
      </c>
      <c r="L504" t="s">
        <v>38</v>
      </c>
      <c r="M504" t="s">
        <v>28</v>
      </c>
      <c r="N504">
        <f>YEAR(Table1[[#This Row],[Date]])</f>
        <v>2020</v>
      </c>
      <c r="O504" t="str">
        <f>TEXT(Table1[[#This Row],[Date]],"mmm")</f>
        <v>Mar</v>
      </c>
      <c r="P504" t="str">
        <f>IF(Table1[[#This Row],[Total_Cost]]&lt;25,"low",IF(Table1[[#This Row],[Total_Cost]]&lt;60,"medium","high"))</f>
        <v>high</v>
      </c>
      <c r="Q504" t="str">
        <f>IF(Table1[[#This Row],[Discount_Applied]]=TRUE,"discount applied","no discount")</f>
        <v>discount applied</v>
      </c>
    </row>
    <row r="505" spans="1:17" x14ac:dyDescent="0.3">
      <c r="A505">
        <v>1000000503</v>
      </c>
      <c r="B505" s="1">
        <v>45176.291250000002</v>
      </c>
      <c r="C505" t="s">
        <v>1003</v>
      </c>
      <c r="D505" t="s">
        <v>1004</v>
      </c>
      <c r="E505">
        <v>7</v>
      </c>
      <c r="F505">
        <v>76.44</v>
      </c>
      <c r="G505" t="s">
        <v>41</v>
      </c>
      <c r="H505" t="s">
        <v>96</v>
      </c>
      <c r="I505" t="s">
        <v>59</v>
      </c>
      <c r="J505" t="b">
        <v>1</v>
      </c>
      <c r="K505" t="s">
        <v>26</v>
      </c>
      <c r="L505" t="s">
        <v>19</v>
      </c>
      <c r="M505" t="s">
        <v>28</v>
      </c>
      <c r="N505">
        <f>YEAR(Table1[[#This Row],[Date]])</f>
        <v>2023</v>
      </c>
      <c r="O505" t="str">
        <f>TEXT(Table1[[#This Row],[Date]],"mmm")</f>
        <v>Sep</v>
      </c>
      <c r="P505" t="str">
        <f>IF(Table1[[#This Row],[Total_Cost]]&lt;25,"low",IF(Table1[[#This Row],[Total_Cost]]&lt;60,"medium","high"))</f>
        <v>high</v>
      </c>
      <c r="Q505" t="str">
        <f>IF(Table1[[#This Row],[Discount_Applied]]=TRUE,"discount applied","no discount")</f>
        <v>discount applied</v>
      </c>
    </row>
    <row r="506" spans="1:17" x14ac:dyDescent="0.3">
      <c r="A506">
        <v>1000000504</v>
      </c>
      <c r="B506" s="1">
        <v>44447.277118055557</v>
      </c>
      <c r="C506" t="s">
        <v>1005</v>
      </c>
      <c r="D506" t="s">
        <v>1006</v>
      </c>
      <c r="E506">
        <v>6</v>
      </c>
      <c r="F506">
        <v>74.569999999999993</v>
      </c>
      <c r="G506" t="s">
        <v>15</v>
      </c>
      <c r="H506" t="s">
        <v>77</v>
      </c>
      <c r="I506" t="s">
        <v>46</v>
      </c>
      <c r="J506" t="b">
        <v>1</v>
      </c>
      <c r="K506" t="s">
        <v>80</v>
      </c>
      <c r="L506" t="s">
        <v>27</v>
      </c>
      <c r="M506" t="s">
        <v>28</v>
      </c>
      <c r="N506">
        <f>YEAR(Table1[[#This Row],[Date]])</f>
        <v>2021</v>
      </c>
      <c r="O506" t="str">
        <f>TEXT(Table1[[#This Row],[Date]],"mmm")</f>
        <v>Sep</v>
      </c>
      <c r="P506" t="str">
        <f>IF(Table1[[#This Row],[Total_Cost]]&lt;25,"low",IF(Table1[[#This Row],[Total_Cost]]&lt;60,"medium","high"))</f>
        <v>high</v>
      </c>
      <c r="Q506" t="str">
        <f>IF(Table1[[#This Row],[Discount_Applied]]=TRUE,"discount applied","no discount")</f>
        <v>discount applied</v>
      </c>
    </row>
    <row r="507" spans="1:17" x14ac:dyDescent="0.3">
      <c r="A507">
        <v>1000000505</v>
      </c>
      <c r="B507" s="1">
        <v>44070.789421296293</v>
      </c>
      <c r="C507" t="s">
        <v>1007</v>
      </c>
      <c r="D507" t="s">
        <v>1008</v>
      </c>
      <c r="E507">
        <v>10</v>
      </c>
      <c r="F507">
        <v>49.75</v>
      </c>
      <c r="G507" t="s">
        <v>23</v>
      </c>
      <c r="H507" t="s">
        <v>50</v>
      </c>
      <c r="I507" t="s">
        <v>46</v>
      </c>
      <c r="J507" t="b">
        <v>0</v>
      </c>
      <c r="K507" t="s">
        <v>18</v>
      </c>
      <c r="L507" t="s">
        <v>38</v>
      </c>
      <c r="M507" t="s">
        <v>28</v>
      </c>
      <c r="N507">
        <f>YEAR(Table1[[#This Row],[Date]])</f>
        <v>2020</v>
      </c>
      <c r="O507" t="str">
        <f>TEXT(Table1[[#This Row],[Date]],"mmm")</f>
        <v>Aug</v>
      </c>
      <c r="P507" t="str">
        <f>IF(Table1[[#This Row],[Total_Cost]]&lt;25,"low",IF(Table1[[#This Row],[Total_Cost]]&lt;60,"medium","high"))</f>
        <v>medium</v>
      </c>
      <c r="Q507" t="str">
        <f>IF(Table1[[#This Row],[Discount_Applied]]=TRUE,"discount applied","no discount")</f>
        <v>no discount</v>
      </c>
    </row>
    <row r="508" spans="1:17" x14ac:dyDescent="0.3">
      <c r="A508">
        <v>1000000506</v>
      </c>
      <c r="B508" s="1">
        <v>45429.666284722225</v>
      </c>
      <c r="C508" t="s">
        <v>1009</v>
      </c>
      <c r="D508" t="s">
        <v>1010</v>
      </c>
      <c r="E508">
        <v>1</v>
      </c>
      <c r="F508">
        <v>56.03</v>
      </c>
      <c r="G508" t="s">
        <v>15</v>
      </c>
      <c r="H508" t="s">
        <v>65</v>
      </c>
      <c r="I508" t="s">
        <v>46</v>
      </c>
      <c r="J508" t="b">
        <v>1</v>
      </c>
      <c r="K508" t="s">
        <v>62</v>
      </c>
      <c r="L508" t="s">
        <v>38</v>
      </c>
      <c r="M508" t="s">
        <v>28</v>
      </c>
      <c r="N508">
        <f>YEAR(Table1[[#This Row],[Date]])</f>
        <v>2024</v>
      </c>
      <c r="O508" t="str">
        <f>TEXT(Table1[[#This Row],[Date]],"mmm")</f>
        <v>May</v>
      </c>
      <c r="P508" t="str">
        <f>IF(Table1[[#This Row],[Total_Cost]]&lt;25,"low",IF(Table1[[#This Row],[Total_Cost]]&lt;60,"medium","high"))</f>
        <v>medium</v>
      </c>
      <c r="Q508" t="str">
        <f>IF(Table1[[#This Row],[Discount_Applied]]=TRUE,"discount applied","no discount")</f>
        <v>discount applied</v>
      </c>
    </row>
    <row r="509" spans="1:17" x14ac:dyDescent="0.3">
      <c r="A509">
        <v>1000000507</v>
      </c>
      <c r="B509" s="1">
        <v>43963.466354166667</v>
      </c>
      <c r="C509" t="s">
        <v>1011</v>
      </c>
      <c r="D509" t="s">
        <v>1012</v>
      </c>
      <c r="E509">
        <v>5</v>
      </c>
      <c r="F509">
        <v>38.07</v>
      </c>
      <c r="G509" t="s">
        <v>23</v>
      </c>
      <c r="H509" t="s">
        <v>16</v>
      </c>
      <c r="I509" t="s">
        <v>25</v>
      </c>
      <c r="J509" t="b">
        <v>0</v>
      </c>
      <c r="K509" t="s">
        <v>80</v>
      </c>
      <c r="L509" t="s">
        <v>19</v>
      </c>
      <c r="M509" t="s">
        <v>28</v>
      </c>
      <c r="N509">
        <f>YEAR(Table1[[#This Row],[Date]])</f>
        <v>2020</v>
      </c>
      <c r="O509" t="str">
        <f>TEXT(Table1[[#This Row],[Date]],"mmm")</f>
        <v>May</v>
      </c>
      <c r="P509" t="str">
        <f>IF(Table1[[#This Row],[Total_Cost]]&lt;25,"low",IF(Table1[[#This Row],[Total_Cost]]&lt;60,"medium","high"))</f>
        <v>medium</v>
      </c>
      <c r="Q509" t="str">
        <f>IF(Table1[[#This Row],[Discount_Applied]]=TRUE,"discount applied","no discount")</f>
        <v>no discount</v>
      </c>
    </row>
    <row r="510" spans="1:17" x14ac:dyDescent="0.3">
      <c r="A510">
        <v>1000000508</v>
      </c>
      <c r="B510" s="1">
        <v>43842.588310185187</v>
      </c>
      <c r="C510" t="s">
        <v>1013</v>
      </c>
      <c r="D510" t="s">
        <v>1014</v>
      </c>
      <c r="E510">
        <v>3</v>
      </c>
      <c r="F510">
        <v>91.97</v>
      </c>
      <c r="G510" t="s">
        <v>23</v>
      </c>
      <c r="H510" t="s">
        <v>32</v>
      </c>
      <c r="I510" t="s">
        <v>37</v>
      </c>
      <c r="J510" t="b">
        <v>0</v>
      </c>
      <c r="K510" t="s">
        <v>51</v>
      </c>
      <c r="L510" t="s">
        <v>27</v>
      </c>
      <c r="M510" t="s">
        <v>20</v>
      </c>
      <c r="N510">
        <f>YEAR(Table1[[#This Row],[Date]])</f>
        <v>2020</v>
      </c>
      <c r="O510" t="str">
        <f>TEXT(Table1[[#This Row],[Date]],"mmm")</f>
        <v>Jan</v>
      </c>
      <c r="P510" t="str">
        <f>IF(Table1[[#This Row],[Total_Cost]]&lt;25,"low",IF(Table1[[#This Row],[Total_Cost]]&lt;60,"medium","high"))</f>
        <v>high</v>
      </c>
      <c r="Q510" t="str">
        <f>IF(Table1[[#This Row],[Discount_Applied]]=TRUE,"discount applied","no discount")</f>
        <v>no discount</v>
      </c>
    </row>
    <row r="511" spans="1:17" x14ac:dyDescent="0.3">
      <c r="A511">
        <v>1000000509</v>
      </c>
      <c r="B511" s="1">
        <v>44038.751493055555</v>
      </c>
      <c r="C511" t="s">
        <v>1015</v>
      </c>
      <c r="D511" t="s">
        <v>1016</v>
      </c>
      <c r="E511">
        <v>10</v>
      </c>
      <c r="F511">
        <v>89.52</v>
      </c>
      <c r="G511" t="s">
        <v>41</v>
      </c>
      <c r="H511" t="s">
        <v>32</v>
      </c>
      <c r="I511" t="s">
        <v>59</v>
      </c>
      <c r="J511" t="b">
        <v>1</v>
      </c>
      <c r="K511" t="s">
        <v>87</v>
      </c>
      <c r="L511" t="s">
        <v>38</v>
      </c>
      <c r="M511" t="s">
        <v>20</v>
      </c>
      <c r="N511">
        <f>YEAR(Table1[[#This Row],[Date]])</f>
        <v>2020</v>
      </c>
      <c r="O511" t="str">
        <f>TEXT(Table1[[#This Row],[Date]],"mmm")</f>
        <v>Jul</v>
      </c>
      <c r="P511" t="str">
        <f>IF(Table1[[#This Row],[Total_Cost]]&lt;25,"low",IF(Table1[[#This Row],[Total_Cost]]&lt;60,"medium","high"))</f>
        <v>high</v>
      </c>
      <c r="Q511" t="str">
        <f>IF(Table1[[#This Row],[Discount_Applied]]=TRUE,"discount applied","no discount")</f>
        <v>discount applied</v>
      </c>
    </row>
    <row r="512" spans="1:17" x14ac:dyDescent="0.3">
      <c r="A512">
        <v>1000000510</v>
      </c>
      <c r="B512" s="1">
        <v>44071.230821759258</v>
      </c>
      <c r="C512" t="s">
        <v>1017</v>
      </c>
      <c r="D512" t="s">
        <v>1018</v>
      </c>
      <c r="E512">
        <v>5</v>
      </c>
      <c r="F512">
        <v>57.26</v>
      </c>
      <c r="G512" t="s">
        <v>23</v>
      </c>
      <c r="H512" t="s">
        <v>36</v>
      </c>
      <c r="I512" t="s">
        <v>46</v>
      </c>
      <c r="J512" t="b">
        <v>0</v>
      </c>
      <c r="K512" t="s">
        <v>26</v>
      </c>
      <c r="L512" t="s">
        <v>27</v>
      </c>
      <c r="M512" t="s">
        <v>43</v>
      </c>
      <c r="N512">
        <f>YEAR(Table1[[#This Row],[Date]])</f>
        <v>2020</v>
      </c>
      <c r="O512" t="str">
        <f>TEXT(Table1[[#This Row],[Date]],"mmm")</f>
        <v>Aug</v>
      </c>
      <c r="P512" t="str">
        <f>IF(Table1[[#This Row],[Total_Cost]]&lt;25,"low",IF(Table1[[#This Row],[Total_Cost]]&lt;60,"medium","high"))</f>
        <v>medium</v>
      </c>
      <c r="Q512" t="str">
        <f>IF(Table1[[#This Row],[Discount_Applied]]=TRUE,"discount applied","no discount")</f>
        <v>no discount</v>
      </c>
    </row>
    <row r="513" spans="1:17" x14ac:dyDescent="0.3">
      <c r="A513">
        <v>1000000511</v>
      </c>
      <c r="B513" s="1">
        <v>45117.484039351853</v>
      </c>
      <c r="C513" t="s">
        <v>1019</v>
      </c>
      <c r="D513" t="s">
        <v>1020</v>
      </c>
      <c r="E513">
        <v>2</v>
      </c>
      <c r="F513">
        <v>6.94</v>
      </c>
      <c r="G513" t="s">
        <v>23</v>
      </c>
      <c r="H513" t="s">
        <v>32</v>
      </c>
      <c r="I513" t="s">
        <v>17</v>
      </c>
      <c r="J513" t="b">
        <v>1</v>
      </c>
      <c r="K513" t="s">
        <v>42</v>
      </c>
      <c r="L513" t="s">
        <v>27</v>
      </c>
      <c r="M513" t="s">
        <v>43</v>
      </c>
      <c r="N513">
        <f>YEAR(Table1[[#This Row],[Date]])</f>
        <v>2023</v>
      </c>
      <c r="O513" t="str">
        <f>TEXT(Table1[[#This Row],[Date]],"mmm")</f>
        <v>Jul</v>
      </c>
      <c r="P513" t="str">
        <f>IF(Table1[[#This Row],[Total_Cost]]&lt;25,"low",IF(Table1[[#This Row],[Total_Cost]]&lt;60,"medium","high"))</f>
        <v>low</v>
      </c>
      <c r="Q513" t="str">
        <f>IF(Table1[[#This Row],[Discount_Applied]]=TRUE,"discount applied","no discount")</f>
        <v>discount applied</v>
      </c>
    </row>
    <row r="514" spans="1:17" x14ac:dyDescent="0.3">
      <c r="A514">
        <v>1000000512</v>
      </c>
      <c r="B514" s="1">
        <v>44147.300474537034</v>
      </c>
      <c r="C514" t="s">
        <v>1021</v>
      </c>
      <c r="D514" t="s">
        <v>1022</v>
      </c>
      <c r="E514">
        <v>8</v>
      </c>
      <c r="F514">
        <v>75.510000000000005</v>
      </c>
      <c r="G514" t="s">
        <v>15</v>
      </c>
      <c r="H514" t="s">
        <v>129</v>
      </c>
      <c r="I514" t="s">
        <v>59</v>
      </c>
      <c r="J514" t="b">
        <v>1</v>
      </c>
      <c r="K514" t="s">
        <v>87</v>
      </c>
      <c r="L514" t="s">
        <v>38</v>
      </c>
      <c r="M514" t="s">
        <v>20</v>
      </c>
      <c r="N514">
        <f>YEAR(Table1[[#This Row],[Date]])</f>
        <v>2020</v>
      </c>
      <c r="O514" t="str">
        <f>TEXT(Table1[[#This Row],[Date]],"mmm")</f>
        <v>Nov</v>
      </c>
      <c r="P514" t="str">
        <f>IF(Table1[[#This Row],[Total_Cost]]&lt;25,"low",IF(Table1[[#This Row],[Total_Cost]]&lt;60,"medium","high"))</f>
        <v>high</v>
      </c>
      <c r="Q514" t="str">
        <f>IF(Table1[[#This Row],[Discount_Applied]]=TRUE,"discount applied","no discount")</f>
        <v>discount applied</v>
      </c>
    </row>
    <row r="515" spans="1:17" x14ac:dyDescent="0.3">
      <c r="A515">
        <v>1000000513</v>
      </c>
      <c r="B515" s="1">
        <v>44639.117997685185</v>
      </c>
      <c r="C515" t="s">
        <v>1023</v>
      </c>
      <c r="D515" t="s">
        <v>1024</v>
      </c>
      <c r="E515">
        <v>9</v>
      </c>
      <c r="F515">
        <v>81.78</v>
      </c>
      <c r="G515" t="s">
        <v>31</v>
      </c>
      <c r="H515" t="s">
        <v>36</v>
      </c>
      <c r="I515" t="s">
        <v>17</v>
      </c>
      <c r="J515" t="b">
        <v>0</v>
      </c>
      <c r="K515" t="s">
        <v>18</v>
      </c>
      <c r="L515" t="s">
        <v>52</v>
      </c>
      <c r="M515" t="s">
        <v>43</v>
      </c>
      <c r="N515">
        <f>YEAR(Table1[[#This Row],[Date]])</f>
        <v>2022</v>
      </c>
      <c r="O515" t="str">
        <f>TEXT(Table1[[#This Row],[Date]],"mmm")</f>
        <v>Mar</v>
      </c>
      <c r="P515" t="str">
        <f>IF(Table1[[#This Row],[Total_Cost]]&lt;25,"low",IF(Table1[[#This Row],[Total_Cost]]&lt;60,"medium","high"))</f>
        <v>high</v>
      </c>
      <c r="Q515" t="str">
        <f>IF(Table1[[#This Row],[Discount_Applied]]=TRUE,"discount applied","no discount")</f>
        <v>no discount</v>
      </c>
    </row>
    <row r="516" spans="1:17" x14ac:dyDescent="0.3">
      <c r="A516">
        <v>1000000514</v>
      </c>
      <c r="B516" s="1">
        <v>44663.694467592592</v>
      </c>
      <c r="C516" t="s">
        <v>1025</v>
      </c>
      <c r="D516" t="s">
        <v>1026</v>
      </c>
      <c r="E516">
        <v>1</v>
      </c>
      <c r="F516">
        <v>84.65</v>
      </c>
      <c r="G516" t="s">
        <v>41</v>
      </c>
      <c r="H516" t="s">
        <v>129</v>
      </c>
      <c r="I516" t="s">
        <v>59</v>
      </c>
      <c r="J516" t="b">
        <v>0</v>
      </c>
      <c r="K516" t="s">
        <v>62</v>
      </c>
      <c r="L516" t="s">
        <v>38</v>
      </c>
      <c r="M516" t="s">
        <v>20</v>
      </c>
      <c r="N516">
        <f>YEAR(Table1[[#This Row],[Date]])</f>
        <v>2022</v>
      </c>
      <c r="O516" t="str">
        <f>TEXT(Table1[[#This Row],[Date]],"mmm")</f>
        <v>Apr</v>
      </c>
      <c r="P516" t="str">
        <f>IF(Table1[[#This Row],[Total_Cost]]&lt;25,"low",IF(Table1[[#This Row],[Total_Cost]]&lt;60,"medium","high"))</f>
        <v>high</v>
      </c>
      <c r="Q516" t="str">
        <f>IF(Table1[[#This Row],[Discount_Applied]]=TRUE,"discount applied","no discount")</f>
        <v>no discount</v>
      </c>
    </row>
    <row r="517" spans="1:17" x14ac:dyDescent="0.3">
      <c r="A517">
        <v>1000000515</v>
      </c>
      <c r="B517" s="1">
        <v>44238.786122685182</v>
      </c>
      <c r="C517" t="s">
        <v>1027</v>
      </c>
      <c r="D517" t="s">
        <v>1028</v>
      </c>
      <c r="E517">
        <v>5</v>
      </c>
      <c r="F517">
        <v>8.6300000000000008</v>
      </c>
      <c r="G517" t="s">
        <v>15</v>
      </c>
      <c r="H517" t="s">
        <v>70</v>
      </c>
      <c r="I517" t="s">
        <v>25</v>
      </c>
      <c r="J517" t="b">
        <v>1</v>
      </c>
      <c r="K517" t="s">
        <v>87</v>
      </c>
      <c r="L517" t="s">
        <v>38</v>
      </c>
      <c r="M517" t="s">
        <v>43</v>
      </c>
      <c r="N517">
        <f>YEAR(Table1[[#This Row],[Date]])</f>
        <v>2021</v>
      </c>
      <c r="O517" t="str">
        <f>TEXT(Table1[[#This Row],[Date]],"mmm")</f>
        <v>Feb</v>
      </c>
      <c r="P517" t="str">
        <f>IF(Table1[[#This Row],[Total_Cost]]&lt;25,"low",IF(Table1[[#This Row],[Total_Cost]]&lt;60,"medium","high"))</f>
        <v>low</v>
      </c>
      <c r="Q517" t="str">
        <f>IF(Table1[[#This Row],[Discount_Applied]]=TRUE,"discount applied","no discount")</f>
        <v>discount applied</v>
      </c>
    </row>
    <row r="518" spans="1:17" x14ac:dyDescent="0.3">
      <c r="A518">
        <v>1000000516</v>
      </c>
      <c r="B518" s="1">
        <v>44046.719027777777</v>
      </c>
      <c r="C518" t="s">
        <v>1029</v>
      </c>
      <c r="D518" t="s">
        <v>1030</v>
      </c>
      <c r="E518">
        <v>5</v>
      </c>
      <c r="F518">
        <v>37.33</v>
      </c>
      <c r="G518" t="s">
        <v>15</v>
      </c>
      <c r="H518" t="s">
        <v>24</v>
      </c>
      <c r="I518" t="s">
        <v>37</v>
      </c>
      <c r="J518" t="b">
        <v>0</v>
      </c>
      <c r="K518" t="s">
        <v>42</v>
      </c>
      <c r="L518" t="s">
        <v>27</v>
      </c>
      <c r="M518" t="s">
        <v>28</v>
      </c>
      <c r="N518">
        <f>YEAR(Table1[[#This Row],[Date]])</f>
        <v>2020</v>
      </c>
      <c r="O518" t="str">
        <f>TEXT(Table1[[#This Row],[Date]],"mmm")</f>
        <v>Aug</v>
      </c>
      <c r="P518" t="str">
        <f>IF(Table1[[#This Row],[Total_Cost]]&lt;25,"low",IF(Table1[[#This Row],[Total_Cost]]&lt;60,"medium","high"))</f>
        <v>medium</v>
      </c>
      <c r="Q518" t="str">
        <f>IF(Table1[[#This Row],[Discount_Applied]]=TRUE,"discount applied","no discount")</f>
        <v>no discount</v>
      </c>
    </row>
    <row r="519" spans="1:17" x14ac:dyDescent="0.3">
      <c r="A519">
        <v>1000000517</v>
      </c>
      <c r="B519" s="1">
        <v>45092.163206018522</v>
      </c>
      <c r="C519" t="s">
        <v>1031</v>
      </c>
      <c r="D519" t="s">
        <v>1032</v>
      </c>
      <c r="E519">
        <v>10</v>
      </c>
      <c r="F519">
        <v>22.79</v>
      </c>
      <c r="G519" t="s">
        <v>23</v>
      </c>
      <c r="H519" t="s">
        <v>96</v>
      </c>
      <c r="I519" t="s">
        <v>25</v>
      </c>
      <c r="J519" t="b">
        <v>1</v>
      </c>
      <c r="K519" t="s">
        <v>51</v>
      </c>
      <c r="L519" t="s">
        <v>19</v>
      </c>
      <c r="M519" t="s">
        <v>43</v>
      </c>
      <c r="N519">
        <f>YEAR(Table1[[#This Row],[Date]])</f>
        <v>2023</v>
      </c>
      <c r="O519" t="str">
        <f>TEXT(Table1[[#This Row],[Date]],"mmm")</f>
        <v>Jun</v>
      </c>
      <c r="P519" t="str">
        <f>IF(Table1[[#This Row],[Total_Cost]]&lt;25,"low",IF(Table1[[#This Row],[Total_Cost]]&lt;60,"medium","high"))</f>
        <v>low</v>
      </c>
      <c r="Q519" t="str">
        <f>IF(Table1[[#This Row],[Discount_Applied]]=TRUE,"discount applied","no discount")</f>
        <v>discount applied</v>
      </c>
    </row>
    <row r="520" spans="1:17" x14ac:dyDescent="0.3">
      <c r="A520">
        <v>1000000518</v>
      </c>
      <c r="B520" s="1">
        <v>45186.314131944448</v>
      </c>
      <c r="C520" t="s">
        <v>1033</v>
      </c>
      <c r="D520" t="s">
        <v>1034</v>
      </c>
      <c r="E520">
        <v>3</v>
      </c>
      <c r="F520">
        <v>92.43</v>
      </c>
      <c r="G520" t="s">
        <v>41</v>
      </c>
      <c r="H520" t="s">
        <v>65</v>
      </c>
      <c r="I520" t="s">
        <v>37</v>
      </c>
      <c r="J520" t="b">
        <v>1</v>
      </c>
      <c r="K520" t="s">
        <v>47</v>
      </c>
      <c r="L520" t="s">
        <v>52</v>
      </c>
      <c r="M520" t="s">
        <v>43</v>
      </c>
      <c r="N520">
        <f>YEAR(Table1[[#This Row],[Date]])</f>
        <v>2023</v>
      </c>
      <c r="O520" t="str">
        <f>TEXT(Table1[[#This Row],[Date]],"mmm")</f>
        <v>Sep</v>
      </c>
      <c r="P520" t="str">
        <f>IF(Table1[[#This Row],[Total_Cost]]&lt;25,"low",IF(Table1[[#This Row],[Total_Cost]]&lt;60,"medium","high"))</f>
        <v>high</v>
      </c>
      <c r="Q520" t="str">
        <f>IF(Table1[[#This Row],[Discount_Applied]]=TRUE,"discount applied","no discount")</f>
        <v>discount applied</v>
      </c>
    </row>
    <row r="521" spans="1:17" x14ac:dyDescent="0.3">
      <c r="A521">
        <v>1000000519</v>
      </c>
      <c r="B521" s="1">
        <v>44573.314074074071</v>
      </c>
      <c r="C521" t="s">
        <v>1035</v>
      </c>
      <c r="D521" t="s">
        <v>1036</v>
      </c>
      <c r="E521">
        <v>4</v>
      </c>
      <c r="F521">
        <v>50.08</v>
      </c>
      <c r="G521" t="s">
        <v>31</v>
      </c>
      <c r="H521" t="s">
        <v>96</v>
      </c>
      <c r="I521" t="s">
        <v>17</v>
      </c>
      <c r="J521" t="b">
        <v>0</v>
      </c>
      <c r="K521" t="s">
        <v>51</v>
      </c>
      <c r="L521" t="s">
        <v>38</v>
      </c>
      <c r="M521" t="s">
        <v>28</v>
      </c>
      <c r="N521">
        <f>YEAR(Table1[[#This Row],[Date]])</f>
        <v>2022</v>
      </c>
      <c r="O521" t="str">
        <f>TEXT(Table1[[#This Row],[Date]],"mmm")</f>
        <v>Jan</v>
      </c>
      <c r="P521" t="str">
        <f>IF(Table1[[#This Row],[Total_Cost]]&lt;25,"low",IF(Table1[[#This Row],[Total_Cost]]&lt;60,"medium","high"))</f>
        <v>medium</v>
      </c>
      <c r="Q521" t="str">
        <f>IF(Table1[[#This Row],[Discount_Applied]]=TRUE,"discount applied","no discount")</f>
        <v>no discount</v>
      </c>
    </row>
    <row r="522" spans="1:17" x14ac:dyDescent="0.3">
      <c r="A522">
        <v>1000000520</v>
      </c>
      <c r="B522" s="1">
        <v>45310.747858796298</v>
      </c>
      <c r="C522" t="s">
        <v>1037</v>
      </c>
      <c r="D522" t="s">
        <v>1038</v>
      </c>
      <c r="E522">
        <v>4</v>
      </c>
      <c r="F522">
        <v>69.819999999999993</v>
      </c>
      <c r="G522" t="s">
        <v>41</v>
      </c>
      <c r="H522" t="s">
        <v>24</v>
      </c>
      <c r="I522" t="s">
        <v>33</v>
      </c>
      <c r="J522" t="b">
        <v>0</v>
      </c>
      <c r="K522" t="s">
        <v>87</v>
      </c>
      <c r="L522" t="s">
        <v>38</v>
      </c>
      <c r="M522" t="s">
        <v>28</v>
      </c>
      <c r="N522">
        <f>YEAR(Table1[[#This Row],[Date]])</f>
        <v>2024</v>
      </c>
      <c r="O522" t="str">
        <f>TEXT(Table1[[#This Row],[Date]],"mmm")</f>
        <v>Jan</v>
      </c>
      <c r="P522" t="str">
        <f>IF(Table1[[#This Row],[Total_Cost]]&lt;25,"low",IF(Table1[[#This Row],[Total_Cost]]&lt;60,"medium","high"))</f>
        <v>high</v>
      </c>
      <c r="Q522" t="str">
        <f>IF(Table1[[#This Row],[Discount_Applied]]=TRUE,"discount applied","no discount")</f>
        <v>no discount</v>
      </c>
    </row>
    <row r="523" spans="1:17" x14ac:dyDescent="0.3">
      <c r="A523">
        <v>1000000521</v>
      </c>
      <c r="B523" s="1">
        <v>45389.660266203704</v>
      </c>
      <c r="C523" t="s">
        <v>1039</v>
      </c>
      <c r="D523" t="s">
        <v>1040</v>
      </c>
      <c r="E523">
        <v>8</v>
      </c>
      <c r="F523">
        <v>89.55</v>
      </c>
      <c r="G523" t="s">
        <v>41</v>
      </c>
      <c r="H523" t="s">
        <v>24</v>
      </c>
      <c r="I523" t="s">
        <v>25</v>
      </c>
      <c r="J523" t="b">
        <v>1</v>
      </c>
      <c r="K523" t="s">
        <v>42</v>
      </c>
      <c r="L523" t="s">
        <v>38</v>
      </c>
      <c r="M523" t="s">
        <v>28</v>
      </c>
      <c r="N523">
        <f>YEAR(Table1[[#This Row],[Date]])</f>
        <v>2024</v>
      </c>
      <c r="O523" t="str">
        <f>TEXT(Table1[[#This Row],[Date]],"mmm")</f>
        <v>Apr</v>
      </c>
      <c r="P523" t="str">
        <f>IF(Table1[[#This Row],[Total_Cost]]&lt;25,"low",IF(Table1[[#This Row],[Total_Cost]]&lt;60,"medium","high"))</f>
        <v>high</v>
      </c>
      <c r="Q523" t="str">
        <f>IF(Table1[[#This Row],[Discount_Applied]]=TRUE,"discount applied","no discount")</f>
        <v>discount applied</v>
      </c>
    </row>
    <row r="524" spans="1:17" x14ac:dyDescent="0.3">
      <c r="A524">
        <v>1000000522</v>
      </c>
      <c r="B524" s="1">
        <v>44405.230243055557</v>
      </c>
      <c r="C524" t="s">
        <v>1041</v>
      </c>
      <c r="D524" t="s">
        <v>1042</v>
      </c>
      <c r="E524">
        <v>2</v>
      </c>
      <c r="F524">
        <v>95.05</v>
      </c>
      <c r="G524" t="s">
        <v>31</v>
      </c>
      <c r="H524" t="s">
        <v>70</v>
      </c>
      <c r="I524" t="s">
        <v>46</v>
      </c>
      <c r="J524" t="b">
        <v>0</v>
      </c>
      <c r="K524" t="s">
        <v>80</v>
      </c>
      <c r="L524" t="s">
        <v>27</v>
      </c>
      <c r="M524" t="s">
        <v>43</v>
      </c>
      <c r="N524">
        <f>YEAR(Table1[[#This Row],[Date]])</f>
        <v>2021</v>
      </c>
      <c r="O524" t="str">
        <f>TEXT(Table1[[#This Row],[Date]],"mmm")</f>
        <v>Jul</v>
      </c>
      <c r="P524" t="str">
        <f>IF(Table1[[#This Row],[Total_Cost]]&lt;25,"low",IF(Table1[[#This Row],[Total_Cost]]&lt;60,"medium","high"))</f>
        <v>high</v>
      </c>
      <c r="Q524" t="str">
        <f>IF(Table1[[#This Row],[Discount_Applied]]=TRUE,"discount applied","no discount")</f>
        <v>no discount</v>
      </c>
    </row>
    <row r="525" spans="1:17" x14ac:dyDescent="0.3">
      <c r="A525">
        <v>1000000523</v>
      </c>
      <c r="B525" s="1">
        <v>45359.567199074074</v>
      </c>
      <c r="C525" t="s">
        <v>1043</v>
      </c>
      <c r="D525" t="s">
        <v>1044</v>
      </c>
      <c r="E525">
        <v>8</v>
      </c>
      <c r="F525">
        <v>52.78</v>
      </c>
      <c r="G525" t="s">
        <v>31</v>
      </c>
      <c r="H525" t="s">
        <v>50</v>
      </c>
      <c r="I525" t="s">
        <v>17</v>
      </c>
      <c r="J525" t="b">
        <v>1</v>
      </c>
      <c r="K525" t="s">
        <v>80</v>
      </c>
      <c r="L525" t="s">
        <v>27</v>
      </c>
      <c r="M525" t="s">
        <v>20</v>
      </c>
      <c r="N525">
        <f>YEAR(Table1[[#This Row],[Date]])</f>
        <v>2024</v>
      </c>
      <c r="O525" t="str">
        <f>TEXT(Table1[[#This Row],[Date]],"mmm")</f>
        <v>Mar</v>
      </c>
      <c r="P525" t="str">
        <f>IF(Table1[[#This Row],[Total_Cost]]&lt;25,"low",IF(Table1[[#This Row],[Total_Cost]]&lt;60,"medium","high"))</f>
        <v>medium</v>
      </c>
      <c r="Q525" t="str">
        <f>IF(Table1[[#This Row],[Discount_Applied]]=TRUE,"discount applied","no discount")</f>
        <v>discount applied</v>
      </c>
    </row>
    <row r="526" spans="1:17" x14ac:dyDescent="0.3">
      <c r="A526">
        <v>1000000524</v>
      </c>
      <c r="B526" s="1">
        <v>44858.461377314816</v>
      </c>
      <c r="C526" t="s">
        <v>1045</v>
      </c>
      <c r="D526" t="s">
        <v>1046</v>
      </c>
      <c r="E526">
        <v>2</v>
      </c>
      <c r="F526">
        <v>16.559999999999999</v>
      </c>
      <c r="G526" t="s">
        <v>15</v>
      </c>
      <c r="H526" t="s">
        <v>16</v>
      </c>
      <c r="I526" t="s">
        <v>46</v>
      </c>
      <c r="J526" t="b">
        <v>1</v>
      </c>
      <c r="K526" t="s">
        <v>80</v>
      </c>
      <c r="L526" t="s">
        <v>27</v>
      </c>
      <c r="M526" t="s">
        <v>43</v>
      </c>
      <c r="N526">
        <f>YEAR(Table1[[#This Row],[Date]])</f>
        <v>2022</v>
      </c>
      <c r="O526" t="str">
        <f>TEXT(Table1[[#This Row],[Date]],"mmm")</f>
        <v>Oct</v>
      </c>
      <c r="P526" t="str">
        <f>IF(Table1[[#This Row],[Total_Cost]]&lt;25,"low",IF(Table1[[#This Row],[Total_Cost]]&lt;60,"medium","high"))</f>
        <v>low</v>
      </c>
      <c r="Q526" t="str">
        <f>IF(Table1[[#This Row],[Discount_Applied]]=TRUE,"discount applied","no discount")</f>
        <v>discount applied</v>
      </c>
    </row>
    <row r="527" spans="1:17" x14ac:dyDescent="0.3">
      <c r="A527">
        <v>1000000525</v>
      </c>
      <c r="B527" s="1">
        <v>44929.112592592595</v>
      </c>
      <c r="C527" t="s">
        <v>1047</v>
      </c>
      <c r="D527" t="s">
        <v>1048</v>
      </c>
      <c r="E527">
        <v>3</v>
      </c>
      <c r="F527">
        <v>92.8</v>
      </c>
      <c r="G527" t="s">
        <v>23</v>
      </c>
      <c r="H527" t="s">
        <v>50</v>
      </c>
      <c r="I527" t="s">
        <v>25</v>
      </c>
      <c r="J527" t="b">
        <v>0</v>
      </c>
      <c r="K527" t="s">
        <v>87</v>
      </c>
      <c r="L527" t="s">
        <v>52</v>
      </c>
      <c r="M527" t="s">
        <v>28</v>
      </c>
      <c r="N527">
        <f>YEAR(Table1[[#This Row],[Date]])</f>
        <v>2023</v>
      </c>
      <c r="O527" t="str">
        <f>TEXT(Table1[[#This Row],[Date]],"mmm")</f>
        <v>Jan</v>
      </c>
      <c r="P527" t="str">
        <f>IF(Table1[[#This Row],[Total_Cost]]&lt;25,"low",IF(Table1[[#This Row],[Total_Cost]]&lt;60,"medium","high"))</f>
        <v>high</v>
      </c>
      <c r="Q527" t="str">
        <f>IF(Table1[[#This Row],[Discount_Applied]]=TRUE,"discount applied","no discount")</f>
        <v>no discount</v>
      </c>
    </row>
    <row r="528" spans="1:17" x14ac:dyDescent="0.3">
      <c r="A528">
        <v>1000000526</v>
      </c>
      <c r="B528" s="1">
        <v>44194.92423611111</v>
      </c>
      <c r="C528" t="s">
        <v>1049</v>
      </c>
      <c r="D528" t="s">
        <v>1050</v>
      </c>
      <c r="E528">
        <v>4</v>
      </c>
      <c r="F528">
        <v>74.44</v>
      </c>
      <c r="G528" t="s">
        <v>15</v>
      </c>
      <c r="H528" t="s">
        <v>16</v>
      </c>
      <c r="I528" t="s">
        <v>37</v>
      </c>
      <c r="J528" t="b">
        <v>0</v>
      </c>
      <c r="K528" t="s">
        <v>18</v>
      </c>
      <c r="L528" t="s">
        <v>38</v>
      </c>
      <c r="M528" t="s">
        <v>20</v>
      </c>
      <c r="N528">
        <f>YEAR(Table1[[#This Row],[Date]])</f>
        <v>2020</v>
      </c>
      <c r="O528" t="str">
        <f>TEXT(Table1[[#This Row],[Date]],"mmm")</f>
        <v>Dec</v>
      </c>
      <c r="P528" t="str">
        <f>IF(Table1[[#This Row],[Total_Cost]]&lt;25,"low",IF(Table1[[#This Row],[Total_Cost]]&lt;60,"medium","high"))</f>
        <v>high</v>
      </c>
      <c r="Q528" t="str">
        <f>IF(Table1[[#This Row],[Discount_Applied]]=TRUE,"discount applied","no discount")</f>
        <v>no discount</v>
      </c>
    </row>
    <row r="529" spans="1:17" x14ac:dyDescent="0.3">
      <c r="A529">
        <v>1000000527</v>
      </c>
      <c r="B529" s="1">
        <v>44799.592233796298</v>
      </c>
      <c r="C529" t="s">
        <v>1051</v>
      </c>
      <c r="D529" t="s">
        <v>1052</v>
      </c>
      <c r="E529">
        <v>6</v>
      </c>
      <c r="F529">
        <v>65.45</v>
      </c>
      <c r="G529" t="s">
        <v>31</v>
      </c>
      <c r="H529" t="s">
        <v>24</v>
      </c>
      <c r="I529" t="s">
        <v>17</v>
      </c>
      <c r="J529" t="b">
        <v>0</v>
      </c>
      <c r="K529" t="s">
        <v>47</v>
      </c>
      <c r="L529" t="s">
        <v>19</v>
      </c>
      <c r="M529" t="s">
        <v>43</v>
      </c>
      <c r="N529">
        <f>YEAR(Table1[[#This Row],[Date]])</f>
        <v>2022</v>
      </c>
      <c r="O529" t="str">
        <f>TEXT(Table1[[#This Row],[Date]],"mmm")</f>
        <v>Aug</v>
      </c>
      <c r="P529" t="str">
        <f>IF(Table1[[#This Row],[Total_Cost]]&lt;25,"low",IF(Table1[[#This Row],[Total_Cost]]&lt;60,"medium","high"))</f>
        <v>high</v>
      </c>
      <c r="Q529" t="str">
        <f>IF(Table1[[#This Row],[Discount_Applied]]=TRUE,"discount applied","no discount")</f>
        <v>no discount</v>
      </c>
    </row>
    <row r="530" spans="1:17" x14ac:dyDescent="0.3">
      <c r="A530">
        <v>1000000528</v>
      </c>
      <c r="B530" s="1">
        <v>44262.134884259256</v>
      </c>
      <c r="C530" t="s">
        <v>1053</v>
      </c>
      <c r="D530" t="s">
        <v>981</v>
      </c>
      <c r="E530">
        <v>10</v>
      </c>
      <c r="F530">
        <v>34.72</v>
      </c>
      <c r="G530" t="s">
        <v>15</v>
      </c>
      <c r="H530" t="s">
        <v>32</v>
      </c>
      <c r="I530" t="s">
        <v>59</v>
      </c>
      <c r="J530" t="b">
        <v>0</v>
      </c>
      <c r="K530" t="s">
        <v>62</v>
      </c>
      <c r="L530" t="s">
        <v>19</v>
      </c>
      <c r="M530" t="s">
        <v>43</v>
      </c>
      <c r="N530">
        <f>YEAR(Table1[[#This Row],[Date]])</f>
        <v>2021</v>
      </c>
      <c r="O530" t="str">
        <f>TEXT(Table1[[#This Row],[Date]],"mmm")</f>
        <v>Mar</v>
      </c>
      <c r="P530" t="str">
        <f>IF(Table1[[#This Row],[Total_Cost]]&lt;25,"low",IF(Table1[[#This Row],[Total_Cost]]&lt;60,"medium","high"))</f>
        <v>medium</v>
      </c>
      <c r="Q530" t="str">
        <f>IF(Table1[[#This Row],[Discount_Applied]]=TRUE,"discount applied","no discount")</f>
        <v>no discount</v>
      </c>
    </row>
    <row r="531" spans="1:17" x14ac:dyDescent="0.3">
      <c r="A531">
        <v>1000000529</v>
      </c>
      <c r="B531" s="1">
        <v>44517.875127314815</v>
      </c>
      <c r="C531" t="s">
        <v>1054</v>
      </c>
      <c r="D531" t="s">
        <v>1055</v>
      </c>
      <c r="E531">
        <v>1</v>
      </c>
      <c r="F531">
        <v>46.02</v>
      </c>
      <c r="G531" t="s">
        <v>41</v>
      </c>
      <c r="H531" t="s">
        <v>96</v>
      </c>
      <c r="I531" t="s">
        <v>37</v>
      </c>
      <c r="J531" t="b">
        <v>0</v>
      </c>
      <c r="K531" t="s">
        <v>18</v>
      </c>
      <c r="L531" t="s">
        <v>38</v>
      </c>
      <c r="M531" t="s">
        <v>28</v>
      </c>
      <c r="N531">
        <f>YEAR(Table1[[#This Row],[Date]])</f>
        <v>2021</v>
      </c>
      <c r="O531" t="str">
        <f>TEXT(Table1[[#This Row],[Date]],"mmm")</f>
        <v>Nov</v>
      </c>
      <c r="P531" t="str">
        <f>IF(Table1[[#This Row],[Total_Cost]]&lt;25,"low",IF(Table1[[#This Row],[Total_Cost]]&lt;60,"medium","high"))</f>
        <v>medium</v>
      </c>
      <c r="Q531" t="str">
        <f>IF(Table1[[#This Row],[Discount_Applied]]=TRUE,"discount applied","no discount")</f>
        <v>no discount</v>
      </c>
    </row>
    <row r="532" spans="1:17" x14ac:dyDescent="0.3">
      <c r="A532">
        <v>1000000530</v>
      </c>
      <c r="B532" s="1">
        <v>44394.000358796293</v>
      </c>
      <c r="C532" t="s">
        <v>1056</v>
      </c>
      <c r="D532" t="s">
        <v>1057</v>
      </c>
      <c r="E532">
        <v>6</v>
      </c>
      <c r="F532">
        <v>44.03</v>
      </c>
      <c r="G532" t="s">
        <v>41</v>
      </c>
      <c r="H532" t="s">
        <v>96</v>
      </c>
      <c r="I532" t="s">
        <v>59</v>
      </c>
      <c r="J532" t="b">
        <v>1</v>
      </c>
      <c r="K532" t="s">
        <v>47</v>
      </c>
      <c r="L532" t="s">
        <v>27</v>
      </c>
      <c r="M532" t="s">
        <v>43</v>
      </c>
      <c r="N532">
        <f>YEAR(Table1[[#This Row],[Date]])</f>
        <v>2021</v>
      </c>
      <c r="O532" t="str">
        <f>TEXT(Table1[[#This Row],[Date]],"mmm")</f>
        <v>Jul</v>
      </c>
      <c r="P532" t="str">
        <f>IF(Table1[[#This Row],[Total_Cost]]&lt;25,"low",IF(Table1[[#This Row],[Total_Cost]]&lt;60,"medium","high"))</f>
        <v>medium</v>
      </c>
      <c r="Q532" t="str">
        <f>IF(Table1[[#This Row],[Discount_Applied]]=TRUE,"discount applied","no discount")</f>
        <v>discount applied</v>
      </c>
    </row>
    <row r="533" spans="1:17" x14ac:dyDescent="0.3">
      <c r="A533">
        <v>1000000531</v>
      </c>
      <c r="B533" s="1">
        <v>44057.471168981479</v>
      </c>
      <c r="C533" t="s">
        <v>1058</v>
      </c>
      <c r="D533" t="s">
        <v>1059</v>
      </c>
      <c r="E533">
        <v>6</v>
      </c>
      <c r="F533">
        <v>13.36</v>
      </c>
      <c r="G533" t="s">
        <v>15</v>
      </c>
      <c r="H533" t="s">
        <v>16</v>
      </c>
      <c r="I533" t="s">
        <v>59</v>
      </c>
      <c r="J533" t="b">
        <v>0</v>
      </c>
      <c r="K533" t="s">
        <v>62</v>
      </c>
      <c r="L533" t="s">
        <v>38</v>
      </c>
      <c r="M533" t="s">
        <v>43</v>
      </c>
      <c r="N533">
        <f>YEAR(Table1[[#This Row],[Date]])</f>
        <v>2020</v>
      </c>
      <c r="O533" t="str">
        <f>TEXT(Table1[[#This Row],[Date]],"mmm")</f>
        <v>Aug</v>
      </c>
      <c r="P533" t="str">
        <f>IF(Table1[[#This Row],[Total_Cost]]&lt;25,"low",IF(Table1[[#This Row],[Total_Cost]]&lt;60,"medium","high"))</f>
        <v>low</v>
      </c>
      <c r="Q533" t="str">
        <f>IF(Table1[[#This Row],[Discount_Applied]]=TRUE,"discount applied","no discount")</f>
        <v>no discount</v>
      </c>
    </row>
    <row r="534" spans="1:17" x14ac:dyDescent="0.3">
      <c r="A534">
        <v>1000000532</v>
      </c>
      <c r="B534" s="1">
        <v>44212.441620370373</v>
      </c>
      <c r="C534" t="s">
        <v>1060</v>
      </c>
      <c r="D534" t="s">
        <v>159</v>
      </c>
      <c r="E534">
        <v>2</v>
      </c>
      <c r="F534">
        <v>6.94</v>
      </c>
      <c r="G534" t="s">
        <v>31</v>
      </c>
      <c r="H534" t="s">
        <v>24</v>
      </c>
      <c r="I534" t="s">
        <v>37</v>
      </c>
      <c r="J534" t="b">
        <v>1</v>
      </c>
      <c r="K534" t="s">
        <v>47</v>
      </c>
      <c r="L534" t="s">
        <v>38</v>
      </c>
      <c r="M534" t="s">
        <v>28</v>
      </c>
      <c r="N534">
        <f>YEAR(Table1[[#This Row],[Date]])</f>
        <v>2021</v>
      </c>
      <c r="O534" t="str">
        <f>TEXT(Table1[[#This Row],[Date]],"mmm")</f>
        <v>Jan</v>
      </c>
      <c r="P534" t="str">
        <f>IF(Table1[[#This Row],[Total_Cost]]&lt;25,"low",IF(Table1[[#This Row],[Total_Cost]]&lt;60,"medium","high"))</f>
        <v>low</v>
      </c>
      <c r="Q534" t="str">
        <f>IF(Table1[[#This Row],[Discount_Applied]]=TRUE,"discount applied","no discount")</f>
        <v>discount applied</v>
      </c>
    </row>
    <row r="535" spans="1:17" x14ac:dyDescent="0.3">
      <c r="A535">
        <v>1000000533</v>
      </c>
      <c r="B535" s="1">
        <v>44953.257962962962</v>
      </c>
      <c r="C535" t="s">
        <v>1061</v>
      </c>
      <c r="D535" t="s">
        <v>1062</v>
      </c>
      <c r="E535">
        <v>8</v>
      </c>
      <c r="F535">
        <v>45.15</v>
      </c>
      <c r="G535" t="s">
        <v>31</v>
      </c>
      <c r="H535" t="s">
        <v>77</v>
      </c>
      <c r="I535" t="s">
        <v>25</v>
      </c>
      <c r="J535" t="b">
        <v>1</v>
      </c>
      <c r="K535" t="s">
        <v>26</v>
      </c>
      <c r="L535" t="s">
        <v>52</v>
      </c>
      <c r="M535" t="s">
        <v>20</v>
      </c>
      <c r="N535">
        <f>YEAR(Table1[[#This Row],[Date]])</f>
        <v>2023</v>
      </c>
      <c r="O535" t="str">
        <f>TEXT(Table1[[#This Row],[Date]],"mmm")</f>
        <v>Jan</v>
      </c>
      <c r="P535" t="str">
        <f>IF(Table1[[#This Row],[Total_Cost]]&lt;25,"low",IF(Table1[[#This Row],[Total_Cost]]&lt;60,"medium","high"))</f>
        <v>medium</v>
      </c>
      <c r="Q535" t="str">
        <f>IF(Table1[[#This Row],[Discount_Applied]]=TRUE,"discount applied","no discount")</f>
        <v>discount applied</v>
      </c>
    </row>
    <row r="536" spans="1:17" x14ac:dyDescent="0.3">
      <c r="A536">
        <v>1000000534</v>
      </c>
      <c r="B536" s="1">
        <v>44121.700543981482</v>
      </c>
      <c r="C536" t="s">
        <v>1063</v>
      </c>
      <c r="D536" t="s">
        <v>1064</v>
      </c>
      <c r="E536">
        <v>2</v>
      </c>
      <c r="F536">
        <v>48.54</v>
      </c>
      <c r="G536" t="s">
        <v>15</v>
      </c>
      <c r="H536" t="s">
        <v>50</v>
      </c>
      <c r="I536" t="s">
        <v>37</v>
      </c>
      <c r="J536" t="b">
        <v>1</v>
      </c>
      <c r="K536" t="s">
        <v>51</v>
      </c>
      <c r="L536" t="s">
        <v>27</v>
      </c>
      <c r="M536" t="s">
        <v>43</v>
      </c>
      <c r="N536">
        <f>YEAR(Table1[[#This Row],[Date]])</f>
        <v>2020</v>
      </c>
      <c r="O536" t="str">
        <f>TEXT(Table1[[#This Row],[Date]],"mmm")</f>
        <v>Oct</v>
      </c>
      <c r="P536" t="str">
        <f>IF(Table1[[#This Row],[Total_Cost]]&lt;25,"low",IF(Table1[[#This Row],[Total_Cost]]&lt;60,"medium","high"))</f>
        <v>medium</v>
      </c>
      <c r="Q536" t="str">
        <f>IF(Table1[[#This Row],[Discount_Applied]]=TRUE,"discount applied","no discount")</f>
        <v>discount applied</v>
      </c>
    </row>
    <row r="537" spans="1:17" x14ac:dyDescent="0.3">
      <c r="A537">
        <v>1000000535</v>
      </c>
      <c r="B537" s="1">
        <v>44960.718206018515</v>
      </c>
      <c r="C537" t="s">
        <v>1065</v>
      </c>
      <c r="D537" t="s">
        <v>1066</v>
      </c>
      <c r="E537">
        <v>10</v>
      </c>
      <c r="F537">
        <v>49.05</v>
      </c>
      <c r="G537" t="s">
        <v>15</v>
      </c>
      <c r="H537" t="s">
        <v>16</v>
      </c>
      <c r="I537" t="s">
        <v>33</v>
      </c>
      <c r="J537" t="b">
        <v>1</v>
      </c>
      <c r="K537" t="s">
        <v>18</v>
      </c>
      <c r="L537" t="s">
        <v>19</v>
      </c>
      <c r="M537" t="s">
        <v>20</v>
      </c>
      <c r="N537">
        <f>YEAR(Table1[[#This Row],[Date]])</f>
        <v>2023</v>
      </c>
      <c r="O537" t="str">
        <f>TEXT(Table1[[#This Row],[Date]],"mmm")</f>
        <v>Feb</v>
      </c>
      <c r="P537" t="str">
        <f>IF(Table1[[#This Row],[Total_Cost]]&lt;25,"low",IF(Table1[[#This Row],[Total_Cost]]&lt;60,"medium","high"))</f>
        <v>medium</v>
      </c>
      <c r="Q537" t="str">
        <f>IF(Table1[[#This Row],[Discount_Applied]]=TRUE,"discount applied","no discount")</f>
        <v>discount applied</v>
      </c>
    </row>
    <row r="538" spans="1:17" x14ac:dyDescent="0.3">
      <c r="A538">
        <v>1000000536</v>
      </c>
      <c r="B538" s="1">
        <v>45338.25099537037</v>
      </c>
      <c r="C538" t="s">
        <v>1067</v>
      </c>
      <c r="D538" t="s">
        <v>1068</v>
      </c>
      <c r="E538">
        <v>8</v>
      </c>
      <c r="F538">
        <v>68.28</v>
      </c>
      <c r="G538" t="s">
        <v>15</v>
      </c>
      <c r="H538" t="s">
        <v>16</v>
      </c>
      <c r="I538" t="s">
        <v>46</v>
      </c>
      <c r="J538" t="b">
        <v>1</v>
      </c>
      <c r="K538" t="s">
        <v>80</v>
      </c>
      <c r="L538" t="s">
        <v>27</v>
      </c>
      <c r="M538" t="s">
        <v>20</v>
      </c>
      <c r="N538">
        <f>YEAR(Table1[[#This Row],[Date]])</f>
        <v>2024</v>
      </c>
      <c r="O538" t="str">
        <f>TEXT(Table1[[#This Row],[Date]],"mmm")</f>
        <v>Feb</v>
      </c>
      <c r="P538" t="str">
        <f>IF(Table1[[#This Row],[Total_Cost]]&lt;25,"low",IF(Table1[[#This Row],[Total_Cost]]&lt;60,"medium","high"))</f>
        <v>high</v>
      </c>
      <c r="Q538" t="str">
        <f>IF(Table1[[#This Row],[Discount_Applied]]=TRUE,"discount applied","no discount")</f>
        <v>discount applied</v>
      </c>
    </row>
    <row r="539" spans="1:17" x14ac:dyDescent="0.3">
      <c r="A539">
        <v>1000000537</v>
      </c>
      <c r="B539" s="1">
        <v>44439.348599537036</v>
      </c>
      <c r="C539" t="s">
        <v>1069</v>
      </c>
      <c r="D539" t="s">
        <v>1070</v>
      </c>
      <c r="E539">
        <v>5</v>
      </c>
      <c r="F539">
        <v>23.75</v>
      </c>
      <c r="G539" t="s">
        <v>15</v>
      </c>
      <c r="H539" t="s">
        <v>65</v>
      </c>
      <c r="I539" t="s">
        <v>17</v>
      </c>
      <c r="J539" t="b">
        <v>0</v>
      </c>
      <c r="K539" t="s">
        <v>47</v>
      </c>
      <c r="L539" t="s">
        <v>19</v>
      </c>
      <c r="M539" t="s">
        <v>43</v>
      </c>
      <c r="N539">
        <f>YEAR(Table1[[#This Row],[Date]])</f>
        <v>2021</v>
      </c>
      <c r="O539" t="str">
        <f>TEXT(Table1[[#This Row],[Date]],"mmm")</f>
        <v>Aug</v>
      </c>
      <c r="P539" t="str">
        <f>IF(Table1[[#This Row],[Total_Cost]]&lt;25,"low",IF(Table1[[#This Row],[Total_Cost]]&lt;60,"medium","high"))</f>
        <v>low</v>
      </c>
      <c r="Q539" t="str">
        <f>IF(Table1[[#This Row],[Discount_Applied]]=TRUE,"discount applied","no discount")</f>
        <v>no discount</v>
      </c>
    </row>
    <row r="540" spans="1:17" x14ac:dyDescent="0.3">
      <c r="A540">
        <v>1000000538</v>
      </c>
      <c r="B540" s="1">
        <v>44815.85083333333</v>
      </c>
      <c r="C540" t="s">
        <v>1071</v>
      </c>
      <c r="D540" t="s">
        <v>1072</v>
      </c>
      <c r="E540">
        <v>6</v>
      </c>
      <c r="F540">
        <v>17.45</v>
      </c>
      <c r="G540" t="s">
        <v>41</v>
      </c>
      <c r="H540" t="s">
        <v>65</v>
      </c>
      <c r="I540" t="s">
        <v>17</v>
      </c>
      <c r="J540" t="b">
        <v>0</v>
      </c>
      <c r="K540" t="s">
        <v>51</v>
      </c>
      <c r="L540" t="s">
        <v>38</v>
      </c>
      <c r="M540" t="s">
        <v>28</v>
      </c>
      <c r="N540">
        <f>YEAR(Table1[[#This Row],[Date]])</f>
        <v>2022</v>
      </c>
      <c r="O540" t="str">
        <f>TEXT(Table1[[#This Row],[Date]],"mmm")</f>
        <v>Sep</v>
      </c>
      <c r="P540" t="str">
        <f>IF(Table1[[#This Row],[Total_Cost]]&lt;25,"low",IF(Table1[[#This Row],[Total_Cost]]&lt;60,"medium","high"))</f>
        <v>low</v>
      </c>
      <c r="Q540" t="str">
        <f>IF(Table1[[#This Row],[Discount_Applied]]=TRUE,"discount applied","no discount")</f>
        <v>no discount</v>
      </c>
    </row>
    <row r="541" spans="1:17" x14ac:dyDescent="0.3">
      <c r="A541">
        <v>1000000539</v>
      </c>
      <c r="B541" s="1">
        <v>44578.268125000002</v>
      </c>
      <c r="C541" t="s">
        <v>1073</v>
      </c>
      <c r="D541" t="s">
        <v>1074</v>
      </c>
      <c r="E541">
        <v>1</v>
      </c>
      <c r="F541">
        <v>94.08</v>
      </c>
      <c r="G541" t="s">
        <v>23</v>
      </c>
      <c r="H541" t="s">
        <v>77</v>
      </c>
      <c r="I541" t="s">
        <v>59</v>
      </c>
      <c r="J541" t="b">
        <v>0</v>
      </c>
      <c r="K541" t="s">
        <v>80</v>
      </c>
      <c r="L541" t="s">
        <v>52</v>
      </c>
      <c r="M541" t="s">
        <v>28</v>
      </c>
      <c r="N541">
        <f>YEAR(Table1[[#This Row],[Date]])</f>
        <v>2022</v>
      </c>
      <c r="O541" t="str">
        <f>TEXT(Table1[[#This Row],[Date]],"mmm")</f>
        <v>Jan</v>
      </c>
      <c r="P541" t="str">
        <f>IF(Table1[[#This Row],[Total_Cost]]&lt;25,"low",IF(Table1[[#This Row],[Total_Cost]]&lt;60,"medium","high"))</f>
        <v>high</v>
      </c>
      <c r="Q541" t="str">
        <f>IF(Table1[[#This Row],[Discount_Applied]]=TRUE,"discount applied","no discount")</f>
        <v>no discount</v>
      </c>
    </row>
    <row r="542" spans="1:17" x14ac:dyDescent="0.3">
      <c r="A542">
        <v>1000000540</v>
      </c>
      <c r="B542" s="1">
        <v>44257.362951388888</v>
      </c>
      <c r="C542" t="s">
        <v>1075</v>
      </c>
      <c r="D542" t="s">
        <v>1076</v>
      </c>
      <c r="E542">
        <v>3</v>
      </c>
      <c r="F542">
        <v>37.770000000000003</v>
      </c>
      <c r="G542" t="s">
        <v>41</v>
      </c>
      <c r="H542" t="s">
        <v>65</v>
      </c>
      <c r="I542" t="s">
        <v>33</v>
      </c>
      <c r="J542" t="b">
        <v>1</v>
      </c>
      <c r="K542" t="s">
        <v>18</v>
      </c>
      <c r="L542" t="s">
        <v>38</v>
      </c>
      <c r="M542" t="s">
        <v>28</v>
      </c>
      <c r="N542">
        <f>YEAR(Table1[[#This Row],[Date]])</f>
        <v>2021</v>
      </c>
      <c r="O542" t="str">
        <f>TEXT(Table1[[#This Row],[Date]],"mmm")</f>
        <v>Mar</v>
      </c>
      <c r="P542" t="str">
        <f>IF(Table1[[#This Row],[Total_Cost]]&lt;25,"low",IF(Table1[[#This Row],[Total_Cost]]&lt;60,"medium","high"))</f>
        <v>medium</v>
      </c>
      <c r="Q542" t="str">
        <f>IF(Table1[[#This Row],[Discount_Applied]]=TRUE,"discount applied","no discount")</f>
        <v>discount applied</v>
      </c>
    </row>
    <row r="543" spans="1:17" x14ac:dyDescent="0.3">
      <c r="A543">
        <v>1000000541</v>
      </c>
      <c r="B543" s="1">
        <v>45394.603206018517</v>
      </c>
      <c r="C543" t="s">
        <v>1077</v>
      </c>
      <c r="D543" t="s">
        <v>1078</v>
      </c>
      <c r="E543">
        <v>7</v>
      </c>
      <c r="F543">
        <v>17.38</v>
      </c>
      <c r="G543" t="s">
        <v>15</v>
      </c>
      <c r="H543" t="s">
        <v>77</v>
      </c>
      <c r="I543" t="s">
        <v>59</v>
      </c>
      <c r="J543" t="b">
        <v>1</v>
      </c>
      <c r="K543" t="s">
        <v>87</v>
      </c>
      <c r="L543" t="s">
        <v>27</v>
      </c>
      <c r="M543" t="s">
        <v>28</v>
      </c>
      <c r="N543">
        <f>YEAR(Table1[[#This Row],[Date]])</f>
        <v>2024</v>
      </c>
      <c r="O543" t="str">
        <f>TEXT(Table1[[#This Row],[Date]],"mmm")</f>
        <v>Apr</v>
      </c>
      <c r="P543" t="str">
        <f>IF(Table1[[#This Row],[Total_Cost]]&lt;25,"low",IF(Table1[[#This Row],[Total_Cost]]&lt;60,"medium","high"))</f>
        <v>low</v>
      </c>
      <c r="Q543" t="str">
        <f>IF(Table1[[#This Row],[Discount_Applied]]=TRUE,"discount applied","no discount")</f>
        <v>discount applied</v>
      </c>
    </row>
    <row r="544" spans="1:17" x14ac:dyDescent="0.3">
      <c r="A544">
        <v>1000000542</v>
      </c>
      <c r="B544" s="1">
        <v>44030.87840277778</v>
      </c>
      <c r="C544" t="s">
        <v>1079</v>
      </c>
      <c r="D544" t="s">
        <v>1080</v>
      </c>
      <c r="E544">
        <v>8</v>
      </c>
      <c r="F544">
        <v>96.56</v>
      </c>
      <c r="G544" t="s">
        <v>41</v>
      </c>
      <c r="H544" t="s">
        <v>77</v>
      </c>
      <c r="I544" t="s">
        <v>33</v>
      </c>
      <c r="J544" t="b">
        <v>0</v>
      </c>
      <c r="K544" t="s">
        <v>80</v>
      </c>
      <c r="L544" t="s">
        <v>19</v>
      </c>
      <c r="M544" t="s">
        <v>20</v>
      </c>
      <c r="N544">
        <f>YEAR(Table1[[#This Row],[Date]])</f>
        <v>2020</v>
      </c>
      <c r="O544" t="str">
        <f>TEXT(Table1[[#This Row],[Date]],"mmm")</f>
        <v>Jul</v>
      </c>
      <c r="P544" t="str">
        <f>IF(Table1[[#This Row],[Total_Cost]]&lt;25,"low",IF(Table1[[#This Row],[Total_Cost]]&lt;60,"medium","high"))</f>
        <v>high</v>
      </c>
      <c r="Q544" t="str">
        <f>IF(Table1[[#This Row],[Discount_Applied]]=TRUE,"discount applied","no discount")</f>
        <v>no discount</v>
      </c>
    </row>
    <row r="545" spans="1:17" x14ac:dyDescent="0.3">
      <c r="A545">
        <v>1000000543</v>
      </c>
      <c r="B545" s="1">
        <v>43927.859907407408</v>
      </c>
      <c r="C545" t="s">
        <v>1081</v>
      </c>
      <c r="D545" t="s">
        <v>1082</v>
      </c>
      <c r="E545">
        <v>6</v>
      </c>
      <c r="F545">
        <v>75.14</v>
      </c>
      <c r="G545" t="s">
        <v>15</v>
      </c>
      <c r="H545" t="s">
        <v>129</v>
      </c>
      <c r="I545" t="s">
        <v>59</v>
      </c>
      <c r="J545" t="b">
        <v>0</v>
      </c>
      <c r="K545" t="s">
        <v>42</v>
      </c>
      <c r="L545" t="s">
        <v>52</v>
      </c>
      <c r="M545" t="s">
        <v>20</v>
      </c>
      <c r="N545">
        <f>YEAR(Table1[[#This Row],[Date]])</f>
        <v>2020</v>
      </c>
      <c r="O545" t="str">
        <f>TEXT(Table1[[#This Row],[Date]],"mmm")</f>
        <v>Apr</v>
      </c>
      <c r="P545" t="str">
        <f>IF(Table1[[#This Row],[Total_Cost]]&lt;25,"low",IF(Table1[[#This Row],[Total_Cost]]&lt;60,"medium","high"))</f>
        <v>high</v>
      </c>
      <c r="Q545" t="str">
        <f>IF(Table1[[#This Row],[Discount_Applied]]=TRUE,"discount applied","no discount")</f>
        <v>no discount</v>
      </c>
    </row>
    <row r="546" spans="1:17" x14ac:dyDescent="0.3">
      <c r="A546">
        <v>1000000544</v>
      </c>
      <c r="B546" s="1">
        <v>43840.598055555558</v>
      </c>
      <c r="C546" t="s">
        <v>1083</v>
      </c>
      <c r="D546" t="s">
        <v>1084</v>
      </c>
      <c r="E546">
        <v>3</v>
      </c>
      <c r="F546">
        <v>85.57</v>
      </c>
      <c r="G546" t="s">
        <v>31</v>
      </c>
      <c r="H546" t="s">
        <v>129</v>
      </c>
      <c r="I546" t="s">
        <v>25</v>
      </c>
      <c r="J546" t="b">
        <v>1</v>
      </c>
      <c r="K546" t="s">
        <v>87</v>
      </c>
      <c r="L546" t="s">
        <v>38</v>
      </c>
      <c r="M546" t="s">
        <v>28</v>
      </c>
      <c r="N546">
        <f>YEAR(Table1[[#This Row],[Date]])</f>
        <v>2020</v>
      </c>
      <c r="O546" t="str">
        <f>TEXT(Table1[[#This Row],[Date]],"mmm")</f>
        <v>Jan</v>
      </c>
      <c r="P546" t="str">
        <f>IF(Table1[[#This Row],[Total_Cost]]&lt;25,"low",IF(Table1[[#This Row],[Total_Cost]]&lt;60,"medium","high"))</f>
        <v>high</v>
      </c>
      <c r="Q546" t="str">
        <f>IF(Table1[[#This Row],[Discount_Applied]]=TRUE,"discount applied","no discount")</f>
        <v>discount applied</v>
      </c>
    </row>
    <row r="547" spans="1:17" x14ac:dyDescent="0.3">
      <c r="A547">
        <v>1000000545</v>
      </c>
      <c r="B547" s="1">
        <v>45332.992812500001</v>
      </c>
      <c r="C547" t="s">
        <v>1085</v>
      </c>
      <c r="D547" t="s">
        <v>1086</v>
      </c>
      <c r="E547">
        <v>8</v>
      </c>
      <c r="F547">
        <v>84.98</v>
      </c>
      <c r="G547" t="s">
        <v>31</v>
      </c>
      <c r="H547" t="s">
        <v>129</v>
      </c>
      <c r="I547" t="s">
        <v>46</v>
      </c>
      <c r="J547" t="b">
        <v>0</v>
      </c>
      <c r="K547" t="s">
        <v>51</v>
      </c>
      <c r="L547" t="s">
        <v>27</v>
      </c>
      <c r="M547" t="s">
        <v>28</v>
      </c>
      <c r="N547">
        <f>YEAR(Table1[[#This Row],[Date]])</f>
        <v>2024</v>
      </c>
      <c r="O547" t="str">
        <f>TEXT(Table1[[#This Row],[Date]],"mmm")</f>
        <v>Feb</v>
      </c>
      <c r="P547" t="str">
        <f>IF(Table1[[#This Row],[Total_Cost]]&lt;25,"low",IF(Table1[[#This Row],[Total_Cost]]&lt;60,"medium","high"))</f>
        <v>high</v>
      </c>
      <c r="Q547" t="str">
        <f>IF(Table1[[#This Row],[Discount_Applied]]=TRUE,"discount applied","no discount")</f>
        <v>no discount</v>
      </c>
    </row>
    <row r="548" spans="1:17" x14ac:dyDescent="0.3">
      <c r="A548">
        <v>1000000546</v>
      </c>
      <c r="B548" s="1">
        <v>44463.461365740739</v>
      </c>
      <c r="C548" t="s">
        <v>1087</v>
      </c>
      <c r="D548" t="s">
        <v>1088</v>
      </c>
      <c r="E548">
        <v>2</v>
      </c>
      <c r="F548">
        <v>50.51</v>
      </c>
      <c r="G548" t="s">
        <v>31</v>
      </c>
      <c r="H548" t="s">
        <v>36</v>
      </c>
      <c r="I548" t="s">
        <v>37</v>
      </c>
      <c r="J548" t="b">
        <v>1</v>
      </c>
      <c r="K548" t="s">
        <v>80</v>
      </c>
      <c r="L548" t="s">
        <v>52</v>
      </c>
      <c r="M548" t="s">
        <v>43</v>
      </c>
      <c r="N548">
        <f>YEAR(Table1[[#This Row],[Date]])</f>
        <v>2021</v>
      </c>
      <c r="O548" t="str">
        <f>TEXT(Table1[[#This Row],[Date]],"mmm")</f>
        <v>Sep</v>
      </c>
      <c r="P548" t="str">
        <f>IF(Table1[[#This Row],[Total_Cost]]&lt;25,"low",IF(Table1[[#This Row],[Total_Cost]]&lt;60,"medium","high"))</f>
        <v>medium</v>
      </c>
      <c r="Q548" t="str">
        <f>IF(Table1[[#This Row],[Discount_Applied]]=TRUE,"discount applied","no discount")</f>
        <v>discount applied</v>
      </c>
    </row>
    <row r="549" spans="1:17" x14ac:dyDescent="0.3">
      <c r="A549">
        <v>1000000547</v>
      </c>
      <c r="B549" s="1">
        <v>45076.884780092594</v>
      </c>
      <c r="C549" t="s">
        <v>1089</v>
      </c>
      <c r="D549" t="s">
        <v>1090</v>
      </c>
      <c r="E549">
        <v>1</v>
      </c>
      <c r="F549">
        <v>49.83</v>
      </c>
      <c r="G549" t="s">
        <v>31</v>
      </c>
      <c r="H549" t="s">
        <v>70</v>
      </c>
      <c r="I549" t="s">
        <v>37</v>
      </c>
      <c r="J549" t="b">
        <v>0</v>
      </c>
      <c r="K549" t="s">
        <v>42</v>
      </c>
      <c r="L549" t="s">
        <v>27</v>
      </c>
      <c r="M549" t="s">
        <v>20</v>
      </c>
      <c r="N549">
        <f>YEAR(Table1[[#This Row],[Date]])</f>
        <v>2023</v>
      </c>
      <c r="O549" t="str">
        <f>TEXT(Table1[[#This Row],[Date]],"mmm")</f>
        <v>May</v>
      </c>
      <c r="P549" t="str">
        <f>IF(Table1[[#This Row],[Total_Cost]]&lt;25,"low",IF(Table1[[#This Row],[Total_Cost]]&lt;60,"medium","high"))</f>
        <v>medium</v>
      </c>
      <c r="Q549" t="str">
        <f>IF(Table1[[#This Row],[Discount_Applied]]=TRUE,"discount applied","no discount")</f>
        <v>no discount</v>
      </c>
    </row>
    <row r="550" spans="1:17" x14ac:dyDescent="0.3">
      <c r="A550">
        <v>1000000548</v>
      </c>
      <c r="B550" s="1">
        <v>45014.770092592589</v>
      </c>
      <c r="C550" t="s">
        <v>1091</v>
      </c>
      <c r="D550" t="s">
        <v>1092</v>
      </c>
      <c r="E550">
        <v>7</v>
      </c>
      <c r="F550">
        <v>20.260000000000002</v>
      </c>
      <c r="G550" t="s">
        <v>23</v>
      </c>
      <c r="H550" t="s">
        <v>129</v>
      </c>
      <c r="I550" t="s">
        <v>46</v>
      </c>
      <c r="J550" t="b">
        <v>0</v>
      </c>
      <c r="K550" t="s">
        <v>62</v>
      </c>
      <c r="L550" t="s">
        <v>19</v>
      </c>
      <c r="M550" t="s">
        <v>28</v>
      </c>
      <c r="N550">
        <f>YEAR(Table1[[#This Row],[Date]])</f>
        <v>2023</v>
      </c>
      <c r="O550" t="str">
        <f>TEXT(Table1[[#This Row],[Date]],"mmm")</f>
        <v>Mar</v>
      </c>
      <c r="P550" t="str">
        <f>IF(Table1[[#This Row],[Total_Cost]]&lt;25,"low",IF(Table1[[#This Row],[Total_Cost]]&lt;60,"medium","high"))</f>
        <v>low</v>
      </c>
      <c r="Q550" t="str">
        <f>IF(Table1[[#This Row],[Discount_Applied]]=TRUE,"discount applied","no discount")</f>
        <v>no discount</v>
      </c>
    </row>
    <row r="551" spans="1:17" x14ac:dyDescent="0.3">
      <c r="A551">
        <v>1000000549</v>
      </c>
      <c r="B551" s="1">
        <v>45069.863252314812</v>
      </c>
      <c r="C551" t="s">
        <v>1093</v>
      </c>
      <c r="D551" t="s">
        <v>1094</v>
      </c>
      <c r="E551">
        <v>4</v>
      </c>
      <c r="F551">
        <v>73.59</v>
      </c>
      <c r="G551" t="s">
        <v>41</v>
      </c>
      <c r="H551" t="s">
        <v>24</v>
      </c>
      <c r="I551" t="s">
        <v>37</v>
      </c>
      <c r="J551" t="b">
        <v>0</v>
      </c>
      <c r="K551" t="s">
        <v>62</v>
      </c>
      <c r="L551" t="s">
        <v>38</v>
      </c>
      <c r="M551" t="s">
        <v>28</v>
      </c>
      <c r="N551">
        <f>YEAR(Table1[[#This Row],[Date]])</f>
        <v>2023</v>
      </c>
      <c r="O551" t="str">
        <f>TEXT(Table1[[#This Row],[Date]],"mmm")</f>
        <v>May</v>
      </c>
      <c r="P551" t="str">
        <f>IF(Table1[[#This Row],[Total_Cost]]&lt;25,"low",IF(Table1[[#This Row],[Total_Cost]]&lt;60,"medium","high"))</f>
        <v>high</v>
      </c>
      <c r="Q551" t="str">
        <f>IF(Table1[[#This Row],[Discount_Applied]]=TRUE,"discount applied","no discount")</f>
        <v>no discount</v>
      </c>
    </row>
    <row r="552" spans="1:17" x14ac:dyDescent="0.3">
      <c r="A552">
        <v>1000000550</v>
      </c>
      <c r="B552" s="1">
        <v>45268.151226851849</v>
      </c>
      <c r="C552" t="s">
        <v>1095</v>
      </c>
      <c r="D552" t="s">
        <v>1096</v>
      </c>
      <c r="E552">
        <v>9</v>
      </c>
      <c r="F552">
        <v>96.26</v>
      </c>
      <c r="G552" t="s">
        <v>31</v>
      </c>
      <c r="H552" t="s">
        <v>70</v>
      </c>
      <c r="I552" t="s">
        <v>46</v>
      </c>
      <c r="J552" t="b">
        <v>1</v>
      </c>
      <c r="K552" t="s">
        <v>26</v>
      </c>
      <c r="L552" t="s">
        <v>27</v>
      </c>
      <c r="M552" t="s">
        <v>20</v>
      </c>
      <c r="N552">
        <f>YEAR(Table1[[#This Row],[Date]])</f>
        <v>2023</v>
      </c>
      <c r="O552" t="str">
        <f>TEXT(Table1[[#This Row],[Date]],"mmm")</f>
        <v>Dec</v>
      </c>
      <c r="P552" t="str">
        <f>IF(Table1[[#This Row],[Total_Cost]]&lt;25,"low",IF(Table1[[#This Row],[Total_Cost]]&lt;60,"medium","high"))</f>
        <v>high</v>
      </c>
      <c r="Q552" t="str">
        <f>IF(Table1[[#This Row],[Discount_Applied]]=TRUE,"discount applied","no discount")</f>
        <v>discount applied</v>
      </c>
    </row>
    <row r="553" spans="1:17" x14ac:dyDescent="0.3">
      <c r="A553">
        <v>1000000551</v>
      </c>
      <c r="B553" s="1">
        <v>44400.956006944441</v>
      </c>
      <c r="C553" t="s">
        <v>1097</v>
      </c>
      <c r="D553" t="s">
        <v>1098</v>
      </c>
      <c r="E553">
        <v>7</v>
      </c>
      <c r="F553">
        <v>95.11</v>
      </c>
      <c r="G553" t="s">
        <v>31</v>
      </c>
      <c r="H553" t="s">
        <v>77</v>
      </c>
      <c r="I553" t="s">
        <v>37</v>
      </c>
      <c r="J553" t="b">
        <v>0</v>
      </c>
      <c r="K553" t="s">
        <v>26</v>
      </c>
      <c r="L553" t="s">
        <v>52</v>
      </c>
      <c r="M553" t="s">
        <v>28</v>
      </c>
      <c r="N553">
        <f>YEAR(Table1[[#This Row],[Date]])</f>
        <v>2021</v>
      </c>
      <c r="O553" t="str">
        <f>TEXT(Table1[[#This Row],[Date]],"mmm")</f>
        <v>Jul</v>
      </c>
      <c r="P553" t="str">
        <f>IF(Table1[[#This Row],[Total_Cost]]&lt;25,"low",IF(Table1[[#This Row],[Total_Cost]]&lt;60,"medium","high"))</f>
        <v>high</v>
      </c>
      <c r="Q553" t="str">
        <f>IF(Table1[[#This Row],[Discount_Applied]]=TRUE,"discount applied","no discount")</f>
        <v>no discount</v>
      </c>
    </row>
    <row r="554" spans="1:17" x14ac:dyDescent="0.3">
      <c r="A554">
        <v>1000000552</v>
      </c>
      <c r="B554" s="1">
        <v>45326.486608796295</v>
      </c>
      <c r="C554" t="s">
        <v>1099</v>
      </c>
      <c r="D554" t="s">
        <v>1100</v>
      </c>
      <c r="E554">
        <v>6</v>
      </c>
      <c r="F554">
        <v>16.98</v>
      </c>
      <c r="G554" t="s">
        <v>41</v>
      </c>
      <c r="H554" t="s">
        <v>129</v>
      </c>
      <c r="I554" t="s">
        <v>33</v>
      </c>
      <c r="J554" t="b">
        <v>1</v>
      </c>
      <c r="K554" t="s">
        <v>51</v>
      </c>
      <c r="L554" t="s">
        <v>27</v>
      </c>
      <c r="M554" t="s">
        <v>43</v>
      </c>
      <c r="N554">
        <f>YEAR(Table1[[#This Row],[Date]])</f>
        <v>2024</v>
      </c>
      <c r="O554" t="str">
        <f>TEXT(Table1[[#This Row],[Date]],"mmm")</f>
        <v>Feb</v>
      </c>
      <c r="P554" t="str">
        <f>IF(Table1[[#This Row],[Total_Cost]]&lt;25,"low",IF(Table1[[#This Row],[Total_Cost]]&lt;60,"medium","high"))</f>
        <v>low</v>
      </c>
      <c r="Q554" t="str">
        <f>IF(Table1[[#This Row],[Discount_Applied]]=TRUE,"discount applied","no discount")</f>
        <v>discount applied</v>
      </c>
    </row>
    <row r="555" spans="1:17" x14ac:dyDescent="0.3">
      <c r="A555">
        <v>1000000553</v>
      </c>
      <c r="B555" s="1">
        <v>43863.729756944442</v>
      </c>
      <c r="C555" t="s">
        <v>1101</v>
      </c>
      <c r="D555" t="s">
        <v>1102</v>
      </c>
      <c r="E555">
        <v>10</v>
      </c>
      <c r="F555">
        <v>85.57</v>
      </c>
      <c r="G555" t="s">
        <v>31</v>
      </c>
      <c r="H555" t="s">
        <v>70</v>
      </c>
      <c r="I555" t="s">
        <v>59</v>
      </c>
      <c r="J555" t="b">
        <v>0</v>
      </c>
      <c r="K555" t="s">
        <v>80</v>
      </c>
      <c r="L555" t="s">
        <v>38</v>
      </c>
      <c r="M555" t="s">
        <v>20</v>
      </c>
      <c r="N555">
        <f>YEAR(Table1[[#This Row],[Date]])</f>
        <v>2020</v>
      </c>
      <c r="O555" t="str">
        <f>TEXT(Table1[[#This Row],[Date]],"mmm")</f>
        <v>Feb</v>
      </c>
      <c r="P555" t="str">
        <f>IF(Table1[[#This Row],[Total_Cost]]&lt;25,"low",IF(Table1[[#This Row],[Total_Cost]]&lt;60,"medium","high"))</f>
        <v>high</v>
      </c>
      <c r="Q555" t="str">
        <f>IF(Table1[[#This Row],[Discount_Applied]]=TRUE,"discount applied","no discount")</f>
        <v>no discount</v>
      </c>
    </row>
    <row r="556" spans="1:17" x14ac:dyDescent="0.3">
      <c r="A556">
        <v>1000000554</v>
      </c>
      <c r="B556" s="1">
        <v>43873.990729166668</v>
      </c>
      <c r="C556" t="s">
        <v>1103</v>
      </c>
      <c r="D556" t="s">
        <v>1104</v>
      </c>
      <c r="E556">
        <v>6</v>
      </c>
      <c r="F556">
        <v>83.33</v>
      </c>
      <c r="G556" t="s">
        <v>31</v>
      </c>
      <c r="H556" t="s">
        <v>36</v>
      </c>
      <c r="I556" t="s">
        <v>33</v>
      </c>
      <c r="J556" t="b">
        <v>1</v>
      </c>
      <c r="K556" t="s">
        <v>26</v>
      </c>
      <c r="L556" t="s">
        <v>52</v>
      </c>
      <c r="M556" t="s">
        <v>20</v>
      </c>
      <c r="N556">
        <f>YEAR(Table1[[#This Row],[Date]])</f>
        <v>2020</v>
      </c>
      <c r="O556" t="str">
        <f>TEXT(Table1[[#This Row],[Date]],"mmm")</f>
        <v>Feb</v>
      </c>
      <c r="P556" t="str">
        <f>IF(Table1[[#This Row],[Total_Cost]]&lt;25,"low",IF(Table1[[#This Row],[Total_Cost]]&lt;60,"medium","high"))</f>
        <v>high</v>
      </c>
      <c r="Q556" t="str">
        <f>IF(Table1[[#This Row],[Discount_Applied]]=TRUE,"discount applied","no discount")</f>
        <v>discount applied</v>
      </c>
    </row>
    <row r="557" spans="1:17" x14ac:dyDescent="0.3">
      <c r="A557">
        <v>1000000555</v>
      </c>
      <c r="B557" s="1">
        <v>45201.967187499999</v>
      </c>
      <c r="C557" t="s">
        <v>1105</v>
      </c>
      <c r="D557" t="s">
        <v>1106</v>
      </c>
      <c r="E557">
        <v>1</v>
      </c>
      <c r="F557">
        <v>25.57</v>
      </c>
      <c r="G557" t="s">
        <v>31</v>
      </c>
      <c r="H557" t="s">
        <v>129</v>
      </c>
      <c r="I557" t="s">
        <v>59</v>
      </c>
      <c r="J557" t="b">
        <v>1</v>
      </c>
      <c r="K557" t="s">
        <v>51</v>
      </c>
      <c r="L557" t="s">
        <v>38</v>
      </c>
      <c r="M557" t="s">
        <v>20</v>
      </c>
      <c r="N557">
        <f>YEAR(Table1[[#This Row],[Date]])</f>
        <v>2023</v>
      </c>
      <c r="O557" t="str">
        <f>TEXT(Table1[[#This Row],[Date]],"mmm")</f>
        <v>Oct</v>
      </c>
      <c r="P557" t="str">
        <f>IF(Table1[[#This Row],[Total_Cost]]&lt;25,"low",IF(Table1[[#This Row],[Total_Cost]]&lt;60,"medium","high"))</f>
        <v>medium</v>
      </c>
      <c r="Q557" t="str">
        <f>IF(Table1[[#This Row],[Discount_Applied]]=TRUE,"discount applied","no discount")</f>
        <v>discount applied</v>
      </c>
    </row>
    <row r="558" spans="1:17" x14ac:dyDescent="0.3">
      <c r="A558">
        <v>1000000556</v>
      </c>
      <c r="B558" s="1">
        <v>45331.767835648148</v>
      </c>
      <c r="C558" t="s">
        <v>1107</v>
      </c>
      <c r="D558" t="s">
        <v>1108</v>
      </c>
      <c r="E558">
        <v>5</v>
      </c>
      <c r="F558">
        <v>50.64</v>
      </c>
      <c r="G558" t="s">
        <v>31</v>
      </c>
      <c r="H558" t="s">
        <v>32</v>
      </c>
      <c r="I558" t="s">
        <v>37</v>
      </c>
      <c r="J558" t="b">
        <v>1</v>
      </c>
      <c r="K558" t="s">
        <v>51</v>
      </c>
      <c r="L558" t="s">
        <v>52</v>
      </c>
      <c r="M558" t="s">
        <v>43</v>
      </c>
      <c r="N558">
        <f>YEAR(Table1[[#This Row],[Date]])</f>
        <v>2024</v>
      </c>
      <c r="O558" t="str">
        <f>TEXT(Table1[[#This Row],[Date]],"mmm")</f>
        <v>Feb</v>
      </c>
      <c r="P558" t="str">
        <f>IF(Table1[[#This Row],[Total_Cost]]&lt;25,"low",IF(Table1[[#This Row],[Total_Cost]]&lt;60,"medium","high"))</f>
        <v>medium</v>
      </c>
      <c r="Q558" t="str">
        <f>IF(Table1[[#This Row],[Discount_Applied]]=TRUE,"discount applied","no discount")</f>
        <v>discount applied</v>
      </c>
    </row>
    <row r="559" spans="1:17" x14ac:dyDescent="0.3">
      <c r="A559">
        <v>1000000557</v>
      </c>
      <c r="B559" s="1">
        <v>44725.940567129626</v>
      </c>
      <c r="C559" t="s">
        <v>1109</v>
      </c>
      <c r="D559" t="s">
        <v>1110</v>
      </c>
      <c r="E559">
        <v>3</v>
      </c>
      <c r="F559">
        <v>71.260000000000005</v>
      </c>
      <c r="G559" t="s">
        <v>23</v>
      </c>
      <c r="H559" t="s">
        <v>24</v>
      </c>
      <c r="I559" t="s">
        <v>37</v>
      </c>
      <c r="J559" t="b">
        <v>0</v>
      </c>
      <c r="K559" t="s">
        <v>42</v>
      </c>
      <c r="L559" t="s">
        <v>19</v>
      </c>
      <c r="M559" t="s">
        <v>43</v>
      </c>
      <c r="N559">
        <f>YEAR(Table1[[#This Row],[Date]])</f>
        <v>2022</v>
      </c>
      <c r="O559" t="str">
        <f>TEXT(Table1[[#This Row],[Date]],"mmm")</f>
        <v>Jun</v>
      </c>
      <c r="P559" t="str">
        <f>IF(Table1[[#This Row],[Total_Cost]]&lt;25,"low",IF(Table1[[#This Row],[Total_Cost]]&lt;60,"medium","high"))</f>
        <v>high</v>
      </c>
      <c r="Q559" t="str">
        <f>IF(Table1[[#This Row],[Discount_Applied]]=TRUE,"discount applied","no discount")</f>
        <v>no discount</v>
      </c>
    </row>
    <row r="560" spans="1:17" x14ac:dyDescent="0.3">
      <c r="A560">
        <v>1000000558</v>
      </c>
      <c r="B560" s="1">
        <v>44512.618159722224</v>
      </c>
      <c r="C560" t="s">
        <v>1111</v>
      </c>
      <c r="D560" t="s">
        <v>677</v>
      </c>
      <c r="E560">
        <v>8</v>
      </c>
      <c r="F560">
        <v>44.29</v>
      </c>
      <c r="G560" t="s">
        <v>31</v>
      </c>
      <c r="H560" t="s">
        <v>77</v>
      </c>
      <c r="I560" t="s">
        <v>33</v>
      </c>
      <c r="J560" t="b">
        <v>0</v>
      </c>
      <c r="K560" t="s">
        <v>26</v>
      </c>
      <c r="L560" t="s">
        <v>38</v>
      </c>
      <c r="M560" t="s">
        <v>28</v>
      </c>
      <c r="N560">
        <f>YEAR(Table1[[#This Row],[Date]])</f>
        <v>2021</v>
      </c>
      <c r="O560" t="str">
        <f>TEXT(Table1[[#This Row],[Date]],"mmm")</f>
        <v>Nov</v>
      </c>
      <c r="P560" t="str">
        <f>IF(Table1[[#This Row],[Total_Cost]]&lt;25,"low",IF(Table1[[#This Row],[Total_Cost]]&lt;60,"medium","high"))</f>
        <v>medium</v>
      </c>
      <c r="Q560" t="str">
        <f>IF(Table1[[#This Row],[Discount_Applied]]=TRUE,"discount applied","no discount")</f>
        <v>no discount</v>
      </c>
    </row>
    <row r="561" spans="1:17" x14ac:dyDescent="0.3">
      <c r="A561">
        <v>1000000559</v>
      </c>
      <c r="B561" s="1">
        <v>44546.701689814814</v>
      </c>
      <c r="C561" t="s">
        <v>1112</v>
      </c>
      <c r="D561" t="s">
        <v>992</v>
      </c>
      <c r="E561">
        <v>8</v>
      </c>
      <c r="F561">
        <v>73.02</v>
      </c>
      <c r="G561" t="s">
        <v>23</v>
      </c>
      <c r="H561" t="s">
        <v>24</v>
      </c>
      <c r="I561" t="s">
        <v>59</v>
      </c>
      <c r="J561" t="b">
        <v>1</v>
      </c>
      <c r="K561" t="s">
        <v>47</v>
      </c>
      <c r="L561" t="s">
        <v>52</v>
      </c>
      <c r="M561" t="s">
        <v>20</v>
      </c>
      <c r="N561">
        <f>YEAR(Table1[[#This Row],[Date]])</f>
        <v>2021</v>
      </c>
      <c r="O561" t="str">
        <f>TEXT(Table1[[#This Row],[Date]],"mmm")</f>
        <v>Dec</v>
      </c>
      <c r="P561" t="str">
        <f>IF(Table1[[#This Row],[Total_Cost]]&lt;25,"low",IF(Table1[[#This Row],[Total_Cost]]&lt;60,"medium","high"))</f>
        <v>high</v>
      </c>
      <c r="Q561" t="str">
        <f>IF(Table1[[#This Row],[Discount_Applied]]=TRUE,"discount applied","no discount")</f>
        <v>discount applied</v>
      </c>
    </row>
    <row r="562" spans="1:17" x14ac:dyDescent="0.3">
      <c r="A562">
        <v>1000000560</v>
      </c>
      <c r="B562" s="1">
        <v>44271.995358796295</v>
      </c>
      <c r="C562" t="s">
        <v>1113</v>
      </c>
      <c r="D562" t="s">
        <v>280</v>
      </c>
      <c r="E562">
        <v>5</v>
      </c>
      <c r="F562">
        <v>76.31</v>
      </c>
      <c r="G562" t="s">
        <v>23</v>
      </c>
      <c r="H562" t="s">
        <v>96</v>
      </c>
      <c r="I562" t="s">
        <v>59</v>
      </c>
      <c r="J562" t="b">
        <v>1</v>
      </c>
      <c r="K562" t="s">
        <v>80</v>
      </c>
      <c r="L562" t="s">
        <v>19</v>
      </c>
      <c r="M562" t="s">
        <v>43</v>
      </c>
      <c r="N562">
        <f>YEAR(Table1[[#This Row],[Date]])</f>
        <v>2021</v>
      </c>
      <c r="O562" t="str">
        <f>TEXT(Table1[[#This Row],[Date]],"mmm")</f>
        <v>Mar</v>
      </c>
      <c r="P562" t="str">
        <f>IF(Table1[[#This Row],[Total_Cost]]&lt;25,"low",IF(Table1[[#This Row],[Total_Cost]]&lt;60,"medium","high"))</f>
        <v>high</v>
      </c>
      <c r="Q562" t="str">
        <f>IF(Table1[[#This Row],[Discount_Applied]]=TRUE,"discount applied","no discount")</f>
        <v>discount applied</v>
      </c>
    </row>
    <row r="563" spans="1:17" x14ac:dyDescent="0.3">
      <c r="A563">
        <v>1000000561</v>
      </c>
      <c r="B563" s="1">
        <v>43956.653495370374</v>
      </c>
      <c r="C563" t="s">
        <v>1114</v>
      </c>
      <c r="D563" t="s">
        <v>1115</v>
      </c>
      <c r="E563">
        <v>1</v>
      </c>
      <c r="F563">
        <v>22.44</v>
      </c>
      <c r="G563" t="s">
        <v>15</v>
      </c>
      <c r="H563" t="s">
        <v>65</v>
      </c>
      <c r="I563" t="s">
        <v>37</v>
      </c>
      <c r="J563" t="b">
        <v>1</v>
      </c>
      <c r="K563" t="s">
        <v>87</v>
      </c>
      <c r="L563" t="s">
        <v>19</v>
      </c>
      <c r="M563" t="s">
        <v>43</v>
      </c>
      <c r="N563">
        <f>YEAR(Table1[[#This Row],[Date]])</f>
        <v>2020</v>
      </c>
      <c r="O563" t="str">
        <f>TEXT(Table1[[#This Row],[Date]],"mmm")</f>
        <v>May</v>
      </c>
      <c r="P563" t="str">
        <f>IF(Table1[[#This Row],[Total_Cost]]&lt;25,"low",IF(Table1[[#This Row],[Total_Cost]]&lt;60,"medium","high"))</f>
        <v>low</v>
      </c>
      <c r="Q563" t="str">
        <f>IF(Table1[[#This Row],[Discount_Applied]]=TRUE,"discount applied","no discount")</f>
        <v>discount applied</v>
      </c>
    </row>
    <row r="564" spans="1:17" x14ac:dyDescent="0.3">
      <c r="A564">
        <v>1000000562</v>
      </c>
      <c r="B564" s="1">
        <v>45422.620949074073</v>
      </c>
      <c r="C564" t="s">
        <v>1116</v>
      </c>
      <c r="D564" t="s">
        <v>1117</v>
      </c>
      <c r="E564">
        <v>8</v>
      </c>
      <c r="F564">
        <v>64.44</v>
      </c>
      <c r="G564" t="s">
        <v>15</v>
      </c>
      <c r="H564" t="s">
        <v>129</v>
      </c>
      <c r="I564" t="s">
        <v>46</v>
      </c>
      <c r="J564" t="b">
        <v>0</v>
      </c>
      <c r="K564" t="s">
        <v>26</v>
      </c>
      <c r="L564" t="s">
        <v>19</v>
      </c>
      <c r="M564" t="s">
        <v>20</v>
      </c>
      <c r="N564">
        <f>YEAR(Table1[[#This Row],[Date]])</f>
        <v>2024</v>
      </c>
      <c r="O564" t="str">
        <f>TEXT(Table1[[#This Row],[Date]],"mmm")</f>
        <v>May</v>
      </c>
      <c r="P564" t="str">
        <f>IF(Table1[[#This Row],[Total_Cost]]&lt;25,"low",IF(Table1[[#This Row],[Total_Cost]]&lt;60,"medium","high"))</f>
        <v>high</v>
      </c>
      <c r="Q564" t="str">
        <f>IF(Table1[[#This Row],[Discount_Applied]]=TRUE,"discount applied","no discount")</f>
        <v>no discount</v>
      </c>
    </row>
    <row r="565" spans="1:17" x14ac:dyDescent="0.3">
      <c r="A565">
        <v>1000000563</v>
      </c>
      <c r="B565" s="1">
        <v>44076.504780092589</v>
      </c>
      <c r="C565" t="s">
        <v>1118</v>
      </c>
      <c r="D565" t="s">
        <v>1119</v>
      </c>
      <c r="E565">
        <v>1</v>
      </c>
      <c r="F565">
        <v>45.68</v>
      </c>
      <c r="G565" t="s">
        <v>31</v>
      </c>
      <c r="H565" t="s">
        <v>50</v>
      </c>
      <c r="I565" t="s">
        <v>59</v>
      </c>
      <c r="J565" t="b">
        <v>1</v>
      </c>
      <c r="K565" t="s">
        <v>62</v>
      </c>
      <c r="L565" t="s">
        <v>19</v>
      </c>
      <c r="M565" t="s">
        <v>20</v>
      </c>
      <c r="N565">
        <f>YEAR(Table1[[#This Row],[Date]])</f>
        <v>2020</v>
      </c>
      <c r="O565" t="str">
        <f>TEXT(Table1[[#This Row],[Date]],"mmm")</f>
        <v>Sep</v>
      </c>
      <c r="P565" t="str">
        <f>IF(Table1[[#This Row],[Total_Cost]]&lt;25,"low",IF(Table1[[#This Row],[Total_Cost]]&lt;60,"medium","high"))</f>
        <v>medium</v>
      </c>
      <c r="Q565" t="str">
        <f>IF(Table1[[#This Row],[Discount_Applied]]=TRUE,"discount applied","no discount")</f>
        <v>discount applied</v>
      </c>
    </row>
    <row r="566" spans="1:17" x14ac:dyDescent="0.3">
      <c r="A566">
        <v>1000000564</v>
      </c>
      <c r="B566" s="1">
        <v>44559.737870370373</v>
      </c>
      <c r="C566" t="s">
        <v>1120</v>
      </c>
      <c r="D566" t="s">
        <v>1121</v>
      </c>
      <c r="E566">
        <v>8</v>
      </c>
      <c r="F566">
        <v>87.9</v>
      </c>
      <c r="G566" t="s">
        <v>15</v>
      </c>
      <c r="H566" t="s">
        <v>96</v>
      </c>
      <c r="I566" t="s">
        <v>59</v>
      </c>
      <c r="J566" t="b">
        <v>1</v>
      </c>
      <c r="K566" t="s">
        <v>51</v>
      </c>
      <c r="L566" t="s">
        <v>38</v>
      </c>
      <c r="M566" t="s">
        <v>28</v>
      </c>
      <c r="N566">
        <f>YEAR(Table1[[#This Row],[Date]])</f>
        <v>2021</v>
      </c>
      <c r="O566" t="str">
        <f>TEXT(Table1[[#This Row],[Date]],"mmm")</f>
        <v>Dec</v>
      </c>
      <c r="P566" t="str">
        <f>IF(Table1[[#This Row],[Total_Cost]]&lt;25,"low",IF(Table1[[#This Row],[Total_Cost]]&lt;60,"medium","high"))</f>
        <v>high</v>
      </c>
      <c r="Q566" t="str">
        <f>IF(Table1[[#This Row],[Discount_Applied]]=TRUE,"discount applied","no discount")</f>
        <v>discount applied</v>
      </c>
    </row>
    <row r="567" spans="1:17" x14ac:dyDescent="0.3">
      <c r="A567">
        <v>1000000565</v>
      </c>
      <c r="B567" s="1">
        <v>44186.291412037041</v>
      </c>
      <c r="C567" t="s">
        <v>1122</v>
      </c>
      <c r="D567" t="s">
        <v>1123</v>
      </c>
      <c r="E567">
        <v>1</v>
      </c>
      <c r="F567">
        <v>6.34</v>
      </c>
      <c r="G567" t="s">
        <v>23</v>
      </c>
      <c r="H567" t="s">
        <v>32</v>
      </c>
      <c r="I567" t="s">
        <v>59</v>
      </c>
      <c r="J567" t="b">
        <v>1</v>
      </c>
      <c r="K567" t="s">
        <v>80</v>
      </c>
      <c r="L567" t="s">
        <v>27</v>
      </c>
      <c r="M567" t="s">
        <v>43</v>
      </c>
      <c r="N567">
        <f>YEAR(Table1[[#This Row],[Date]])</f>
        <v>2020</v>
      </c>
      <c r="O567" t="str">
        <f>TEXT(Table1[[#This Row],[Date]],"mmm")</f>
        <v>Dec</v>
      </c>
      <c r="P567" t="str">
        <f>IF(Table1[[#This Row],[Total_Cost]]&lt;25,"low",IF(Table1[[#This Row],[Total_Cost]]&lt;60,"medium","high"))</f>
        <v>low</v>
      </c>
      <c r="Q567" t="str">
        <f>IF(Table1[[#This Row],[Discount_Applied]]=TRUE,"discount applied","no discount")</f>
        <v>discount applied</v>
      </c>
    </row>
    <row r="568" spans="1:17" x14ac:dyDescent="0.3">
      <c r="A568">
        <v>1000000566</v>
      </c>
      <c r="B568" s="1">
        <v>43934.231678240743</v>
      </c>
      <c r="C568" t="s">
        <v>1124</v>
      </c>
      <c r="D568" t="s">
        <v>1125</v>
      </c>
      <c r="E568">
        <v>7</v>
      </c>
      <c r="F568">
        <v>21.05</v>
      </c>
      <c r="G568" t="s">
        <v>15</v>
      </c>
      <c r="H568" t="s">
        <v>77</v>
      </c>
      <c r="I568" t="s">
        <v>25</v>
      </c>
      <c r="J568" t="b">
        <v>1</v>
      </c>
      <c r="K568" t="s">
        <v>51</v>
      </c>
      <c r="L568" t="s">
        <v>52</v>
      </c>
      <c r="M568" t="s">
        <v>43</v>
      </c>
      <c r="N568">
        <f>YEAR(Table1[[#This Row],[Date]])</f>
        <v>2020</v>
      </c>
      <c r="O568" t="str">
        <f>TEXT(Table1[[#This Row],[Date]],"mmm")</f>
        <v>Apr</v>
      </c>
      <c r="P568" t="str">
        <f>IF(Table1[[#This Row],[Total_Cost]]&lt;25,"low",IF(Table1[[#This Row],[Total_Cost]]&lt;60,"medium","high"))</f>
        <v>low</v>
      </c>
      <c r="Q568" t="str">
        <f>IF(Table1[[#This Row],[Discount_Applied]]=TRUE,"discount applied","no discount")</f>
        <v>discount applied</v>
      </c>
    </row>
    <row r="569" spans="1:17" x14ac:dyDescent="0.3">
      <c r="A569">
        <v>1000000567</v>
      </c>
      <c r="B569" s="1">
        <v>45403.1562962963</v>
      </c>
      <c r="C569" t="s">
        <v>1126</v>
      </c>
      <c r="D569" t="s">
        <v>1127</v>
      </c>
      <c r="E569">
        <v>8</v>
      </c>
      <c r="F569">
        <v>83.12</v>
      </c>
      <c r="G569" t="s">
        <v>23</v>
      </c>
      <c r="H569" t="s">
        <v>129</v>
      </c>
      <c r="I569" t="s">
        <v>46</v>
      </c>
      <c r="J569" t="b">
        <v>1</v>
      </c>
      <c r="K569" t="s">
        <v>18</v>
      </c>
      <c r="L569" t="s">
        <v>19</v>
      </c>
      <c r="M569" t="s">
        <v>20</v>
      </c>
      <c r="N569">
        <f>YEAR(Table1[[#This Row],[Date]])</f>
        <v>2024</v>
      </c>
      <c r="O569" t="str">
        <f>TEXT(Table1[[#This Row],[Date]],"mmm")</f>
        <v>Apr</v>
      </c>
      <c r="P569" t="str">
        <f>IF(Table1[[#This Row],[Total_Cost]]&lt;25,"low",IF(Table1[[#This Row],[Total_Cost]]&lt;60,"medium","high"))</f>
        <v>high</v>
      </c>
      <c r="Q569" t="str">
        <f>IF(Table1[[#This Row],[Discount_Applied]]=TRUE,"discount applied","no discount")</f>
        <v>discount applied</v>
      </c>
    </row>
    <row r="570" spans="1:17" x14ac:dyDescent="0.3">
      <c r="A570">
        <v>1000000568</v>
      </c>
      <c r="B570" s="1">
        <v>44259.220532407409</v>
      </c>
      <c r="C570" t="s">
        <v>1128</v>
      </c>
      <c r="D570" t="s">
        <v>1129</v>
      </c>
      <c r="E570">
        <v>5</v>
      </c>
      <c r="F570">
        <v>40.92</v>
      </c>
      <c r="G570" t="s">
        <v>23</v>
      </c>
      <c r="H570" t="s">
        <v>96</v>
      </c>
      <c r="I570" t="s">
        <v>17</v>
      </c>
      <c r="J570" t="b">
        <v>1</v>
      </c>
      <c r="K570" t="s">
        <v>87</v>
      </c>
      <c r="L570" t="s">
        <v>27</v>
      </c>
      <c r="M570" t="s">
        <v>43</v>
      </c>
      <c r="N570">
        <f>YEAR(Table1[[#This Row],[Date]])</f>
        <v>2021</v>
      </c>
      <c r="O570" t="str">
        <f>TEXT(Table1[[#This Row],[Date]],"mmm")</f>
        <v>Mar</v>
      </c>
      <c r="P570" t="str">
        <f>IF(Table1[[#This Row],[Total_Cost]]&lt;25,"low",IF(Table1[[#This Row],[Total_Cost]]&lt;60,"medium","high"))</f>
        <v>medium</v>
      </c>
      <c r="Q570" t="str">
        <f>IF(Table1[[#This Row],[Discount_Applied]]=TRUE,"discount applied","no discount")</f>
        <v>discount applied</v>
      </c>
    </row>
    <row r="571" spans="1:17" x14ac:dyDescent="0.3">
      <c r="A571">
        <v>1000000569</v>
      </c>
      <c r="B571" s="1">
        <v>45042.008900462963</v>
      </c>
      <c r="C571" t="s">
        <v>1130</v>
      </c>
      <c r="D571" t="s">
        <v>1131</v>
      </c>
      <c r="E571">
        <v>1</v>
      </c>
      <c r="F571">
        <v>41.66</v>
      </c>
      <c r="G571" t="s">
        <v>15</v>
      </c>
      <c r="H571" t="s">
        <v>96</v>
      </c>
      <c r="I571" t="s">
        <v>33</v>
      </c>
      <c r="J571" t="b">
        <v>0</v>
      </c>
      <c r="K571" t="s">
        <v>51</v>
      </c>
      <c r="L571" t="s">
        <v>19</v>
      </c>
      <c r="M571" t="s">
        <v>28</v>
      </c>
      <c r="N571">
        <f>YEAR(Table1[[#This Row],[Date]])</f>
        <v>2023</v>
      </c>
      <c r="O571" t="str">
        <f>TEXT(Table1[[#This Row],[Date]],"mmm")</f>
        <v>Apr</v>
      </c>
      <c r="P571" t="str">
        <f>IF(Table1[[#This Row],[Total_Cost]]&lt;25,"low",IF(Table1[[#This Row],[Total_Cost]]&lt;60,"medium","high"))</f>
        <v>medium</v>
      </c>
      <c r="Q571" t="str">
        <f>IF(Table1[[#This Row],[Discount_Applied]]=TRUE,"discount applied","no discount")</f>
        <v>no discount</v>
      </c>
    </row>
    <row r="572" spans="1:17" x14ac:dyDescent="0.3">
      <c r="A572">
        <v>1000000570</v>
      </c>
      <c r="B572" s="1">
        <v>45346.053842592592</v>
      </c>
      <c r="C572" t="s">
        <v>1132</v>
      </c>
      <c r="D572" t="s">
        <v>248</v>
      </c>
      <c r="E572">
        <v>2</v>
      </c>
      <c r="F572">
        <v>31.57</v>
      </c>
      <c r="G572" t="s">
        <v>15</v>
      </c>
      <c r="H572" t="s">
        <v>70</v>
      </c>
      <c r="I572" t="s">
        <v>33</v>
      </c>
      <c r="J572" t="b">
        <v>0</v>
      </c>
      <c r="K572" t="s">
        <v>47</v>
      </c>
      <c r="L572" t="s">
        <v>27</v>
      </c>
      <c r="M572" t="s">
        <v>28</v>
      </c>
      <c r="N572">
        <f>YEAR(Table1[[#This Row],[Date]])</f>
        <v>2024</v>
      </c>
      <c r="O572" t="str">
        <f>TEXT(Table1[[#This Row],[Date]],"mmm")</f>
        <v>Feb</v>
      </c>
      <c r="P572" t="str">
        <f>IF(Table1[[#This Row],[Total_Cost]]&lt;25,"low",IF(Table1[[#This Row],[Total_Cost]]&lt;60,"medium","high"))</f>
        <v>medium</v>
      </c>
      <c r="Q572" t="str">
        <f>IF(Table1[[#This Row],[Discount_Applied]]=TRUE,"discount applied","no discount")</f>
        <v>no discount</v>
      </c>
    </row>
    <row r="573" spans="1:17" x14ac:dyDescent="0.3">
      <c r="A573">
        <v>1000000571</v>
      </c>
      <c r="B573" s="1">
        <v>45119.594398148147</v>
      </c>
      <c r="C573" t="s">
        <v>1133</v>
      </c>
      <c r="D573" t="s">
        <v>1134</v>
      </c>
      <c r="E573">
        <v>8</v>
      </c>
      <c r="F573">
        <v>91.52</v>
      </c>
      <c r="G573" t="s">
        <v>31</v>
      </c>
      <c r="H573" t="s">
        <v>96</v>
      </c>
      <c r="I573" t="s">
        <v>46</v>
      </c>
      <c r="J573" t="b">
        <v>0</v>
      </c>
      <c r="K573" t="s">
        <v>51</v>
      </c>
      <c r="L573" t="s">
        <v>38</v>
      </c>
      <c r="M573" t="s">
        <v>28</v>
      </c>
      <c r="N573">
        <f>YEAR(Table1[[#This Row],[Date]])</f>
        <v>2023</v>
      </c>
      <c r="O573" t="str">
        <f>TEXT(Table1[[#This Row],[Date]],"mmm")</f>
        <v>Jul</v>
      </c>
      <c r="P573" t="str">
        <f>IF(Table1[[#This Row],[Total_Cost]]&lt;25,"low",IF(Table1[[#This Row],[Total_Cost]]&lt;60,"medium","high"))</f>
        <v>high</v>
      </c>
      <c r="Q573" t="str">
        <f>IF(Table1[[#This Row],[Discount_Applied]]=TRUE,"discount applied","no discount")</f>
        <v>no discount</v>
      </c>
    </row>
    <row r="574" spans="1:17" x14ac:dyDescent="0.3">
      <c r="A574">
        <v>1000000572</v>
      </c>
      <c r="B574" s="1">
        <v>44449.316284722219</v>
      </c>
      <c r="C574" t="s">
        <v>1135</v>
      </c>
      <c r="D574" t="s">
        <v>1136</v>
      </c>
      <c r="E574">
        <v>10</v>
      </c>
      <c r="F574">
        <v>33.71</v>
      </c>
      <c r="G574" t="s">
        <v>31</v>
      </c>
      <c r="H574" t="s">
        <v>36</v>
      </c>
      <c r="I574" t="s">
        <v>17</v>
      </c>
      <c r="J574" t="b">
        <v>0</v>
      </c>
      <c r="K574" t="s">
        <v>87</v>
      </c>
      <c r="L574" t="s">
        <v>52</v>
      </c>
      <c r="M574" t="s">
        <v>28</v>
      </c>
      <c r="N574">
        <f>YEAR(Table1[[#This Row],[Date]])</f>
        <v>2021</v>
      </c>
      <c r="O574" t="str">
        <f>TEXT(Table1[[#This Row],[Date]],"mmm")</f>
        <v>Sep</v>
      </c>
      <c r="P574" t="str">
        <f>IF(Table1[[#This Row],[Total_Cost]]&lt;25,"low",IF(Table1[[#This Row],[Total_Cost]]&lt;60,"medium","high"))</f>
        <v>medium</v>
      </c>
      <c r="Q574" t="str">
        <f>IF(Table1[[#This Row],[Discount_Applied]]=TRUE,"discount applied","no discount")</f>
        <v>no discount</v>
      </c>
    </row>
    <row r="575" spans="1:17" x14ac:dyDescent="0.3">
      <c r="A575">
        <v>1000000573</v>
      </c>
      <c r="B575" s="1">
        <v>43966.89271990741</v>
      </c>
      <c r="C575" t="s">
        <v>1137</v>
      </c>
      <c r="D575" t="s">
        <v>1138</v>
      </c>
      <c r="E575">
        <v>6</v>
      </c>
      <c r="F575">
        <v>95.54</v>
      </c>
      <c r="G575" t="s">
        <v>41</v>
      </c>
      <c r="H575" t="s">
        <v>70</v>
      </c>
      <c r="I575" t="s">
        <v>25</v>
      </c>
      <c r="J575" t="b">
        <v>0</v>
      </c>
      <c r="K575" t="s">
        <v>62</v>
      </c>
      <c r="L575" t="s">
        <v>52</v>
      </c>
      <c r="M575" t="s">
        <v>20</v>
      </c>
      <c r="N575">
        <f>YEAR(Table1[[#This Row],[Date]])</f>
        <v>2020</v>
      </c>
      <c r="O575" t="str">
        <f>TEXT(Table1[[#This Row],[Date]],"mmm")</f>
        <v>May</v>
      </c>
      <c r="P575" t="str">
        <f>IF(Table1[[#This Row],[Total_Cost]]&lt;25,"low",IF(Table1[[#This Row],[Total_Cost]]&lt;60,"medium","high"))</f>
        <v>high</v>
      </c>
      <c r="Q575" t="str">
        <f>IF(Table1[[#This Row],[Discount_Applied]]=TRUE,"discount applied","no discount")</f>
        <v>no discount</v>
      </c>
    </row>
    <row r="576" spans="1:17" x14ac:dyDescent="0.3">
      <c r="A576">
        <v>1000000574</v>
      </c>
      <c r="B576" s="1">
        <v>44800.879131944443</v>
      </c>
      <c r="C576" t="s">
        <v>1139</v>
      </c>
      <c r="D576" t="s">
        <v>795</v>
      </c>
      <c r="E576">
        <v>3</v>
      </c>
      <c r="F576">
        <v>91.01</v>
      </c>
      <c r="G576" t="s">
        <v>23</v>
      </c>
      <c r="H576" t="s">
        <v>65</v>
      </c>
      <c r="I576" t="s">
        <v>25</v>
      </c>
      <c r="J576" t="b">
        <v>0</v>
      </c>
      <c r="K576" t="s">
        <v>62</v>
      </c>
      <c r="L576" t="s">
        <v>38</v>
      </c>
      <c r="M576" t="s">
        <v>43</v>
      </c>
      <c r="N576">
        <f>YEAR(Table1[[#This Row],[Date]])</f>
        <v>2022</v>
      </c>
      <c r="O576" t="str">
        <f>TEXT(Table1[[#This Row],[Date]],"mmm")</f>
        <v>Aug</v>
      </c>
      <c r="P576" t="str">
        <f>IF(Table1[[#This Row],[Total_Cost]]&lt;25,"low",IF(Table1[[#This Row],[Total_Cost]]&lt;60,"medium","high"))</f>
        <v>high</v>
      </c>
      <c r="Q576" t="str">
        <f>IF(Table1[[#This Row],[Discount_Applied]]=TRUE,"discount applied","no discount")</f>
        <v>no discount</v>
      </c>
    </row>
    <row r="577" spans="1:17" x14ac:dyDescent="0.3">
      <c r="A577">
        <v>1000000575</v>
      </c>
      <c r="B577" s="1">
        <v>44293.148425925923</v>
      </c>
      <c r="C577" t="s">
        <v>1140</v>
      </c>
      <c r="D577" t="s">
        <v>1141</v>
      </c>
      <c r="E577">
        <v>9</v>
      </c>
      <c r="F577">
        <v>48.51</v>
      </c>
      <c r="G577" t="s">
        <v>15</v>
      </c>
      <c r="H577" t="s">
        <v>16</v>
      </c>
      <c r="I577" t="s">
        <v>46</v>
      </c>
      <c r="J577" t="b">
        <v>1</v>
      </c>
      <c r="K577" t="s">
        <v>47</v>
      </c>
      <c r="L577" t="s">
        <v>52</v>
      </c>
      <c r="M577" t="s">
        <v>43</v>
      </c>
      <c r="N577">
        <f>YEAR(Table1[[#This Row],[Date]])</f>
        <v>2021</v>
      </c>
      <c r="O577" t="str">
        <f>TEXT(Table1[[#This Row],[Date]],"mmm")</f>
        <v>Apr</v>
      </c>
      <c r="P577" t="str">
        <f>IF(Table1[[#This Row],[Total_Cost]]&lt;25,"low",IF(Table1[[#This Row],[Total_Cost]]&lt;60,"medium","high"))</f>
        <v>medium</v>
      </c>
      <c r="Q577" t="str">
        <f>IF(Table1[[#This Row],[Discount_Applied]]=TRUE,"discount applied","no discount")</f>
        <v>discount applied</v>
      </c>
    </row>
    <row r="578" spans="1:17" x14ac:dyDescent="0.3">
      <c r="A578">
        <v>1000000576</v>
      </c>
      <c r="B578" s="1">
        <v>43970.373530092591</v>
      </c>
      <c r="C578" t="s">
        <v>1142</v>
      </c>
      <c r="D578" t="s">
        <v>1143</v>
      </c>
      <c r="E578">
        <v>10</v>
      </c>
      <c r="F578">
        <v>22.51</v>
      </c>
      <c r="G578" t="s">
        <v>31</v>
      </c>
      <c r="H578" t="s">
        <v>50</v>
      </c>
      <c r="I578" t="s">
        <v>59</v>
      </c>
      <c r="J578" t="b">
        <v>1</v>
      </c>
      <c r="K578" t="s">
        <v>62</v>
      </c>
      <c r="L578" t="s">
        <v>27</v>
      </c>
      <c r="M578" t="s">
        <v>43</v>
      </c>
      <c r="N578">
        <f>YEAR(Table1[[#This Row],[Date]])</f>
        <v>2020</v>
      </c>
      <c r="O578" t="str">
        <f>TEXT(Table1[[#This Row],[Date]],"mmm")</f>
        <v>May</v>
      </c>
      <c r="P578" t="str">
        <f>IF(Table1[[#This Row],[Total_Cost]]&lt;25,"low",IF(Table1[[#This Row],[Total_Cost]]&lt;60,"medium","high"))</f>
        <v>low</v>
      </c>
      <c r="Q578" t="str">
        <f>IF(Table1[[#This Row],[Discount_Applied]]=TRUE,"discount applied","no discount")</f>
        <v>discount applied</v>
      </c>
    </row>
    <row r="579" spans="1:17" x14ac:dyDescent="0.3">
      <c r="A579">
        <v>1000000577</v>
      </c>
      <c r="B579" s="1">
        <v>44855.788703703707</v>
      </c>
      <c r="C579" t="s">
        <v>1144</v>
      </c>
      <c r="D579" t="s">
        <v>1145</v>
      </c>
      <c r="E579">
        <v>8</v>
      </c>
      <c r="F579">
        <v>35.74</v>
      </c>
      <c r="G579" t="s">
        <v>41</v>
      </c>
      <c r="H579" t="s">
        <v>16</v>
      </c>
      <c r="I579" t="s">
        <v>59</v>
      </c>
      <c r="J579" t="b">
        <v>1</v>
      </c>
      <c r="K579" t="s">
        <v>18</v>
      </c>
      <c r="L579" t="s">
        <v>52</v>
      </c>
      <c r="M579" t="s">
        <v>43</v>
      </c>
      <c r="N579">
        <f>YEAR(Table1[[#This Row],[Date]])</f>
        <v>2022</v>
      </c>
      <c r="O579" t="str">
        <f>TEXT(Table1[[#This Row],[Date]],"mmm")</f>
        <v>Oct</v>
      </c>
      <c r="P579" t="str">
        <f>IF(Table1[[#This Row],[Total_Cost]]&lt;25,"low",IF(Table1[[#This Row],[Total_Cost]]&lt;60,"medium","high"))</f>
        <v>medium</v>
      </c>
      <c r="Q579" t="str">
        <f>IF(Table1[[#This Row],[Discount_Applied]]=TRUE,"discount applied","no discount")</f>
        <v>discount applied</v>
      </c>
    </row>
    <row r="580" spans="1:17" x14ac:dyDescent="0.3">
      <c r="A580">
        <v>1000000578</v>
      </c>
      <c r="B580" s="1">
        <v>45182.455983796295</v>
      </c>
      <c r="C580" t="s">
        <v>1146</v>
      </c>
      <c r="D580" t="s">
        <v>1147</v>
      </c>
      <c r="E580">
        <v>3</v>
      </c>
      <c r="F580">
        <v>98.71</v>
      </c>
      <c r="G580" t="s">
        <v>15</v>
      </c>
      <c r="H580" t="s">
        <v>36</v>
      </c>
      <c r="I580" t="s">
        <v>46</v>
      </c>
      <c r="J580" t="b">
        <v>0</v>
      </c>
      <c r="K580" t="s">
        <v>51</v>
      </c>
      <c r="L580" t="s">
        <v>27</v>
      </c>
      <c r="M580" t="s">
        <v>28</v>
      </c>
      <c r="N580">
        <f>YEAR(Table1[[#This Row],[Date]])</f>
        <v>2023</v>
      </c>
      <c r="O580" t="str">
        <f>TEXT(Table1[[#This Row],[Date]],"mmm")</f>
        <v>Sep</v>
      </c>
      <c r="P580" t="str">
        <f>IF(Table1[[#This Row],[Total_Cost]]&lt;25,"low",IF(Table1[[#This Row],[Total_Cost]]&lt;60,"medium","high"))</f>
        <v>high</v>
      </c>
      <c r="Q580" t="str">
        <f>IF(Table1[[#This Row],[Discount_Applied]]=TRUE,"discount applied","no discount")</f>
        <v>no discount</v>
      </c>
    </row>
    <row r="581" spans="1:17" x14ac:dyDescent="0.3">
      <c r="A581">
        <v>1000000579</v>
      </c>
      <c r="B581" s="1">
        <v>44886.458993055552</v>
      </c>
      <c r="C581" t="s">
        <v>1148</v>
      </c>
      <c r="D581" t="s">
        <v>1149</v>
      </c>
      <c r="E581">
        <v>6</v>
      </c>
      <c r="F581">
        <v>90.07</v>
      </c>
      <c r="G581" t="s">
        <v>31</v>
      </c>
      <c r="H581" t="s">
        <v>24</v>
      </c>
      <c r="I581" t="s">
        <v>46</v>
      </c>
      <c r="J581" t="b">
        <v>0</v>
      </c>
      <c r="K581" t="s">
        <v>18</v>
      </c>
      <c r="L581" t="s">
        <v>27</v>
      </c>
      <c r="M581" t="s">
        <v>43</v>
      </c>
      <c r="N581">
        <f>YEAR(Table1[[#This Row],[Date]])</f>
        <v>2022</v>
      </c>
      <c r="O581" t="str">
        <f>TEXT(Table1[[#This Row],[Date]],"mmm")</f>
        <v>Nov</v>
      </c>
      <c r="P581" t="str">
        <f>IF(Table1[[#This Row],[Total_Cost]]&lt;25,"low",IF(Table1[[#This Row],[Total_Cost]]&lt;60,"medium","high"))</f>
        <v>high</v>
      </c>
      <c r="Q581" t="str">
        <f>IF(Table1[[#This Row],[Discount_Applied]]=TRUE,"discount applied","no discount")</f>
        <v>no discount</v>
      </c>
    </row>
    <row r="582" spans="1:17" x14ac:dyDescent="0.3">
      <c r="A582">
        <v>1000000580</v>
      </c>
      <c r="B582" s="1">
        <v>43927.022083333337</v>
      </c>
      <c r="C582" t="s">
        <v>1150</v>
      </c>
      <c r="D582" t="s">
        <v>1151</v>
      </c>
      <c r="E582">
        <v>4</v>
      </c>
      <c r="F582">
        <v>27.8</v>
      </c>
      <c r="G582" t="s">
        <v>31</v>
      </c>
      <c r="H582" t="s">
        <v>50</v>
      </c>
      <c r="I582" t="s">
        <v>33</v>
      </c>
      <c r="J582" t="b">
        <v>0</v>
      </c>
      <c r="K582" t="s">
        <v>42</v>
      </c>
      <c r="L582" t="s">
        <v>52</v>
      </c>
      <c r="M582" t="s">
        <v>28</v>
      </c>
      <c r="N582">
        <f>YEAR(Table1[[#This Row],[Date]])</f>
        <v>2020</v>
      </c>
      <c r="O582" t="str">
        <f>TEXT(Table1[[#This Row],[Date]],"mmm")</f>
        <v>Apr</v>
      </c>
      <c r="P582" t="str">
        <f>IF(Table1[[#This Row],[Total_Cost]]&lt;25,"low",IF(Table1[[#This Row],[Total_Cost]]&lt;60,"medium","high"))</f>
        <v>medium</v>
      </c>
      <c r="Q582" t="str">
        <f>IF(Table1[[#This Row],[Discount_Applied]]=TRUE,"discount applied","no discount")</f>
        <v>no discount</v>
      </c>
    </row>
    <row r="583" spans="1:17" x14ac:dyDescent="0.3">
      <c r="A583">
        <v>1000000581</v>
      </c>
      <c r="B583" s="1">
        <v>45373.547326388885</v>
      </c>
      <c r="C583" t="s">
        <v>1152</v>
      </c>
      <c r="D583" t="s">
        <v>1153</v>
      </c>
      <c r="E583">
        <v>3</v>
      </c>
      <c r="F583">
        <v>7.9</v>
      </c>
      <c r="G583" t="s">
        <v>41</v>
      </c>
      <c r="H583" t="s">
        <v>70</v>
      </c>
      <c r="I583" t="s">
        <v>37</v>
      </c>
      <c r="J583" t="b">
        <v>1</v>
      </c>
      <c r="K583" t="s">
        <v>87</v>
      </c>
      <c r="L583" t="s">
        <v>52</v>
      </c>
      <c r="M583" t="s">
        <v>43</v>
      </c>
      <c r="N583">
        <f>YEAR(Table1[[#This Row],[Date]])</f>
        <v>2024</v>
      </c>
      <c r="O583" t="str">
        <f>TEXT(Table1[[#This Row],[Date]],"mmm")</f>
        <v>Mar</v>
      </c>
      <c r="P583" t="str">
        <f>IF(Table1[[#This Row],[Total_Cost]]&lt;25,"low",IF(Table1[[#This Row],[Total_Cost]]&lt;60,"medium","high"))</f>
        <v>low</v>
      </c>
      <c r="Q583" t="str">
        <f>IF(Table1[[#This Row],[Discount_Applied]]=TRUE,"discount applied","no discount")</f>
        <v>discount applied</v>
      </c>
    </row>
    <row r="584" spans="1:17" x14ac:dyDescent="0.3">
      <c r="A584">
        <v>1000000582</v>
      </c>
      <c r="B584" s="1">
        <v>45059.721875000003</v>
      </c>
      <c r="C584" t="s">
        <v>1154</v>
      </c>
      <c r="D584" t="s">
        <v>1155</v>
      </c>
      <c r="E584">
        <v>8</v>
      </c>
      <c r="F584">
        <v>63</v>
      </c>
      <c r="G584" t="s">
        <v>41</v>
      </c>
      <c r="H584" t="s">
        <v>16</v>
      </c>
      <c r="I584" t="s">
        <v>33</v>
      </c>
      <c r="J584" t="b">
        <v>1</v>
      </c>
      <c r="K584" t="s">
        <v>62</v>
      </c>
      <c r="L584" t="s">
        <v>52</v>
      </c>
      <c r="M584" t="s">
        <v>43</v>
      </c>
      <c r="N584">
        <f>YEAR(Table1[[#This Row],[Date]])</f>
        <v>2023</v>
      </c>
      <c r="O584" t="str">
        <f>TEXT(Table1[[#This Row],[Date]],"mmm")</f>
        <v>May</v>
      </c>
      <c r="P584" t="str">
        <f>IF(Table1[[#This Row],[Total_Cost]]&lt;25,"low",IF(Table1[[#This Row],[Total_Cost]]&lt;60,"medium","high"))</f>
        <v>high</v>
      </c>
      <c r="Q584" t="str">
        <f>IF(Table1[[#This Row],[Discount_Applied]]=TRUE,"discount applied","no discount")</f>
        <v>discount applied</v>
      </c>
    </row>
    <row r="585" spans="1:17" x14ac:dyDescent="0.3">
      <c r="A585">
        <v>1000000583</v>
      </c>
      <c r="B585" s="1">
        <v>44713.665717592594</v>
      </c>
      <c r="C585" t="s">
        <v>1156</v>
      </c>
      <c r="D585" t="s">
        <v>1157</v>
      </c>
      <c r="E585">
        <v>6</v>
      </c>
      <c r="F585">
        <v>32.9</v>
      </c>
      <c r="G585" t="s">
        <v>23</v>
      </c>
      <c r="H585" t="s">
        <v>70</v>
      </c>
      <c r="I585" t="s">
        <v>46</v>
      </c>
      <c r="J585" t="b">
        <v>0</v>
      </c>
      <c r="K585" t="s">
        <v>51</v>
      </c>
      <c r="L585" t="s">
        <v>27</v>
      </c>
      <c r="M585" t="s">
        <v>28</v>
      </c>
      <c r="N585">
        <f>YEAR(Table1[[#This Row],[Date]])</f>
        <v>2022</v>
      </c>
      <c r="O585" t="str">
        <f>TEXT(Table1[[#This Row],[Date]],"mmm")</f>
        <v>Jun</v>
      </c>
      <c r="P585" t="str">
        <f>IF(Table1[[#This Row],[Total_Cost]]&lt;25,"low",IF(Table1[[#This Row],[Total_Cost]]&lt;60,"medium","high"))</f>
        <v>medium</v>
      </c>
      <c r="Q585" t="str">
        <f>IF(Table1[[#This Row],[Discount_Applied]]=TRUE,"discount applied","no discount")</f>
        <v>no discount</v>
      </c>
    </row>
    <row r="586" spans="1:17" x14ac:dyDescent="0.3">
      <c r="A586">
        <v>1000000584</v>
      </c>
      <c r="B586" s="1">
        <v>45052.120428240742</v>
      </c>
      <c r="C586" t="s">
        <v>1158</v>
      </c>
      <c r="D586" t="s">
        <v>1159</v>
      </c>
      <c r="E586">
        <v>10</v>
      </c>
      <c r="F586">
        <v>20.77</v>
      </c>
      <c r="G586" t="s">
        <v>23</v>
      </c>
      <c r="H586" t="s">
        <v>32</v>
      </c>
      <c r="I586" t="s">
        <v>37</v>
      </c>
      <c r="J586" t="b">
        <v>1</v>
      </c>
      <c r="K586" t="s">
        <v>26</v>
      </c>
      <c r="L586" t="s">
        <v>19</v>
      </c>
      <c r="M586" t="s">
        <v>20</v>
      </c>
      <c r="N586">
        <f>YEAR(Table1[[#This Row],[Date]])</f>
        <v>2023</v>
      </c>
      <c r="O586" t="str">
        <f>TEXT(Table1[[#This Row],[Date]],"mmm")</f>
        <v>May</v>
      </c>
      <c r="P586" t="str">
        <f>IF(Table1[[#This Row],[Total_Cost]]&lt;25,"low",IF(Table1[[#This Row],[Total_Cost]]&lt;60,"medium","high"))</f>
        <v>low</v>
      </c>
      <c r="Q586" t="str">
        <f>IF(Table1[[#This Row],[Discount_Applied]]=TRUE,"discount applied","no discount")</f>
        <v>discount applied</v>
      </c>
    </row>
    <row r="587" spans="1:17" x14ac:dyDescent="0.3">
      <c r="A587">
        <v>1000000585</v>
      </c>
      <c r="B587" s="1">
        <v>44337.744270833333</v>
      </c>
      <c r="C587" t="s">
        <v>1160</v>
      </c>
      <c r="D587" t="s">
        <v>1161</v>
      </c>
      <c r="E587">
        <v>6</v>
      </c>
      <c r="F587">
        <v>48.04</v>
      </c>
      <c r="G587" t="s">
        <v>15</v>
      </c>
      <c r="H587" t="s">
        <v>50</v>
      </c>
      <c r="I587" t="s">
        <v>46</v>
      </c>
      <c r="J587" t="b">
        <v>0</v>
      </c>
      <c r="K587" t="s">
        <v>18</v>
      </c>
      <c r="L587" t="s">
        <v>27</v>
      </c>
      <c r="M587" t="s">
        <v>28</v>
      </c>
      <c r="N587">
        <f>YEAR(Table1[[#This Row],[Date]])</f>
        <v>2021</v>
      </c>
      <c r="O587" t="str">
        <f>TEXT(Table1[[#This Row],[Date]],"mmm")</f>
        <v>May</v>
      </c>
      <c r="P587" t="str">
        <f>IF(Table1[[#This Row],[Total_Cost]]&lt;25,"low",IF(Table1[[#This Row],[Total_Cost]]&lt;60,"medium","high"))</f>
        <v>medium</v>
      </c>
      <c r="Q587" t="str">
        <f>IF(Table1[[#This Row],[Discount_Applied]]=TRUE,"discount applied","no discount")</f>
        <v>no discount</v>
      </c>
    </row>
    <row r="588" spans="1:17" x14ac:dyDescent="0.3">
      <c r="A588">
        <v>1000000586</v>
      </c>
      <c r="B588" s="1">
        <v>45065.425486111111</v>
      </c>
      <c r="C588" t="s">
        <v>1162</v>
      </c>
      <c r="D588" t="s">
        <v>1163</v>
      </c>
      <c r="E588">
        <v>10</v>
      </c>
      <c r="F588">
        <v>5.14</v>
      </c>
      <c r="G588" t="s">
        <v>31</v>
      </c>
      <c r="H588" t="s">
        <v>129</v>
      </c>
      <c r="I588" t="s">
        <v>37</v>
      </c>
      <c r="J588" t="b">
        <v>0</v>
      </c>
      <c r="K588" t="s">
        <v>51</v>
      </c>
      <c r="L588" t="s">
        <v>19</v>
      </c>
      <c r="M588" t="s">
        <v>20</v>
      </c>
      <c r="N588">
        <f>YEAR(Table1[[#This Row],[Date]])</f>
        <v>2023</v>
      </c>
      <c r="O588" t="str">
        <f>TEXT(Table1[[#This Row],[Date]],"mmm")</f>
        <v>May</v>
      </c>
      <c r="P588" t="str">
        <f>IF(Table1[[#This Row],[Total_Cost]]&lt;25,"low",IF(Table1[[#This Row],[Total_Cost]]&lt;60,"medium","high"))</f>
        <v>low</v>
      </c>
      <c r="Q588" t="str">
        <f>IF(Table1[[#This Row],[Discount_Applied]]=TRUE,"discount applied","no discount")</f>
        <v>no discount</v>
      </c>
    </row>
    <row r="589" spans="1:17" x14ac:dyDescent="0.3">
      <c r="A589">
        <v>1000000587</v>
      </c>
      <c r="B589" s="1">
        <v>43890.319571759261</v>
      </c>
      <c r="C589" t="s">
        <v>1164</v>
      </c>
      <c r="D589" t="s">
        <v>1165</v>
      </c>
      <c r="E589">
        <v>6</v>
      </c>
      <c r="F589">
        <v>14.29</v>
      </c>
      <c r="G589" t="s">
        <v>31</v>
      </c>
      <c r="H589" t="s">
        <v>36</v>
      </c>
      <c r="I589" t="s">
        <v>17</v>
      </c>
      <c r="J589" t="b">
        <v>1</v>
      </c>
      <c r="K589" t="s">
        <v>18</v>
      </c>
      <c r="L589" t="s">
        <v>19</v>
      </c>
      <c r="M589" t="s">
        <v>43</v>
      </c>
      <c r="N589">
        <f>YEAR(Table1[[#This Row],[Date]])</f>
        <v>2020</v>
      </c>
      <c r="O589" t="str">
        <f>TEXT(Table1[[#This Row],[Date]],"mmm")</f>
        <v>Feb</v>
      </c>
      <c r="P589" t="str">
        <f>IF(Table1[[#This Row],[Total_Cost]]&lt;25,"low",IF(Table1[[#This Row],[Total_Cost]]&lt;60,"medium","high"))</f>
        <v>low</v>
      </c>
      <c r="Q589" t="str">
        <f>IF(Table1[[#This Row],[Discount_Applied]]=TRUE,"discount applied","no discount")</f>
        <v>discount applied</v>
      </c>
    </row>
    <row r="590" spans="1:17" x14ac:dyDescent="0.3">
      <c r="A590">
        <v>1000000588</v>
      </c>
      <c r="B590" s="1">
        <v>44442.595023148147</v>
      </c>
      <c r="C590" t="s">
        <v>1166</v>
      </c>
      <c r="D590" t="s">
        <v>1167</v>
      </c>
      <c r="E590">
        <v>1</v>
      </c>
      <c r="F590">
        <v>43.78</v>
      </c>
      <c r="G590" t="s">
        <v>41</v>
      </c>
      <c r="H590" t="s">
        <v>70</v>
      </c>
      <c r="I590" t="s">
        <v>46</v>
      </c>
      <c r="J590" t="b">
        <v>1</v>
      </c>
      <c r="K590" t="s">
        <v>47</v>
      </c>
      <c r="L590" t="s">
        <v>52</v>
      </c>
      <c r="M590" t="s">
        <v>43</v>
      </c>
      <c r="N590">
        <f>YEAR(Table1[[#This Row],[Date]])</f>
        <v>2021</v>
      </c>
      <c r="O590" t="str">
        <f>TEXT(Table1[[#This Row],[Date]],"mmm")</f>
        <v>Sep</v>
      </c>
      <c r="P590" t="str">
        <f>IF(Table1[[#This Row],[Total_Cost]]&lt;25,"low",IF(Table1[[#This Row],[Total_Cost]]&lt;60,"medium","high"))</f>
        <v>medium</v>
      </c>
      <c r="Q590" t="str">
        <f>IF(Table1[[#This Row],[Discount_Applied]]=TRUE,"discount applied","no discount")</f>
        <v>discount applied</v>
      </c>
    </row>
    <row r="591" spans="1:17" x14ac:dyDescent="0.3">
      <c r="A591">
        <v>1000000589</v>
      </c>
      <c r="B591" s="1">
        <v>44623.639722222222</v>
      </c>
      <c r="C591" t="s">
        <v>1168</v>
      </c>
      <c r="D591" t="s">
        <v>1169</v>
      </c>
      <c r="E591">
        <v>9</v>
      </c>
      <c r="F591">
        <v>5.09</v>
      </c>
      <c r="G591" t="s">
        <v>31</v>
      </c>
      <c r="H591" t="s">
        <v>32</v>
      </c>
      <c r="I591" t="s">
        <v>59</v>
      </c>
      <c r="J591" t="b">
        <v>1</v>
      </c>
      <c r="K591" t="s">
        <v>42</v>
      </c>
      <c r="L591" t="s">
        <v>38</v>
      </c>
      <c r="M591" t="s">
        <v>43</v>
      </c>
      <c r="N591">
        <f>YEAR(Table1[[#This Row],[Date]])</f>
        <v>2022</v>
      </c>
      <c r="O591" t="str">
        <f>TEXT(Table1[[#This Row],[Date]],"mmm")</f>
        <v>Mar</v>
      </c>
      <c r="P591" t="str">
        <f>IF(Table1[[#This Row],[Total_Cost]]&lt;25,"low",IF(Table1[[#This Row],[Total_Cost]]&lt;60,"medium","high"))</f>
        <v>low</v>
      </c>
      <c r="Q591" t="str">
        <f>IF(Table1[[#This Row],[Discount_Applied]]=TRUE,"discount applied","no discount")</f>
        <v>discount applied</v>
      </c>
    </row>
    <row r="592" spans="1:17" x14ac:dyDescent="0.3">
      <c r="A592">
        <v>1000000590</v>
      </c>
      <c r="B592" s="1">
        <v>44310.391967592594</v>
      </c>
      <c r="C592" t="s">
        <v>1170</v>
      </c>
      <c r="D592" t="s">
        <v>1171</v>
      </c>
      <c r="E592">
        <v>6</v>
      </c>
      <c r="F592">
        <v>13.4</v>
      </c>
      <c r="G592" t="s">
        <v>41</v>
      </c>
      <c r="H592" t="s">
        <v>70</v>
      </c>
      <c r="I592" t="s">
        <v>33</v>
      </c>
      <c r="J592" t="b">
        <v>1</v>
      </c>
      <c r="K592" t="s">
        <v>47</v>
      </c>
      <c r="L592" t="s">
        <v>38</v>
      </c>
      <c r="M592" t="s">
        <v>20</v>
      </c>
      <c r="N592">
        <f>YEAR(Table1[[#This Row],[Date]])</f>
        <v>2021</v>
      </c>
      <c r="O592" t="str">
        <f>TEXT(Table1[[#This Row],[Date]],"mmm")</f>
        <v>Apr</v>
      </c>
      <c r="P592" t="str">
        <f>IF(Table1[[#This Row],[Total_Cost]]&lt;25,"low",IF(Table1[[#This Row],[Total_Cost]]&lt;60,"medium","high"))</f>
        <v>low</v>
      </c>
      <c r="Q592" t="str">
        <f>IF(Table1[[#This Row],[Discount_Applied]]=TRUE,"discount applied","no discount")</f>
        <v>discount applied</v>
      </c>
    </row>
    <row r="593" spans="1:17" x14ac:dyDescent="0.3">
      <c r="A593">
        <v>1000000591</v>
      </c>
      <c r="B593" s="1">
        <v>44231.048703703702</v>
      </c>
      <c r="C593" t="s">
        <v>700</v>
      </c>
      <c r="D593" t="s">
        <v>1172</v>
      </c>
      <c r="E593">
        <v>6</v>
      </c>
      <c r="F593">
        <v>79.040000000000006</v>
      </c>
      <c r="G593" t="s">
        <v>41</v>
      </c>
      <c r="H593" t="s">
        <v>96</v>
      </c>
      <c r="I593" t="s">
        <v>33</v>
      </c>
      <c r="J593" t="b">
        <v>0</v>
      </c>
      <c r="K593" t="s">
        <v>18</v>
      </c>
      <c r="L593" t="s">
        <v>27</v>
      </c>
      <c r="M593" t="s">
        <v>20</v>
      </c>
      <c r="N593">
        <f>YEAR(Table1[[#This Row],[Date]])</f>
        <v>2021</v>
      </c>
      <c r="O593" t="str">
        <f>TEXT(Table1[[#This Row],[Date]],"mmm")</f>
        <v>Feb</v>
      </c>
      <c r="P593" t="str">
        <f>IF(Table1[[#This Row],[Total_Cost]]&lt;25,"low",IF(Table1[[#This Row],[Total_Cost]]&lt;60,"medium","high"))</f>
        <v>high</v>
      </c>
      <c r="Q593" t="str">
        <f>IF(Table1[[#This Row],[Discount_Applied]]=TRUE,"discount applied","no discount")</f>
        <v>no discount</v>
      </c>
    </row>
    <row r="594" spans="1:17" x14ac:dyDescent="0.3">
      <c r="A594">
        <v>1000000592</v>
      </c>
      <c r="B594" s="1">
        <v>44257.105590277781</v>
      </c>
      <c r="C594" t="s">
        <v>1173</v>
      </c>
      <c r="D594" t="s">
        <v>1174</v>
      </c>
      <c r="E594">
        <v>4</v>
      </c>
      <c r="F594">
        <v>46.58</v>
      </c>
      <c r="G594" t="s">
        <v>41</v>
      </c>
      <c r="H594" t="s">
        <v>96</v>
      </c>
      <c r="I594" t="s">
        <v>37</v>
      </c>
      <c r="J594" t="b">
        <v>1</v>
      </c>
      <c r="K594" t="s">
        <v>42</v>
      </c>
      <c r="L594" t="s">
        <v>19</v>
      </c>
      <c r="M594" t="s">
        <v>20</v>
      </c>
      <c r="N594">
        <f>YEAR(Table1[[#This Row],[Date]])</f>
        <v>2021</v>
      </c>
      <c r="O594" t="str">
        <f>TEXT(Table1[[#This Row],[Date]],"mmm")</f>
        <v>Mar</v>
      </c>
      <c r="P594" t="str">
        <f>IF(Table1[[#This Row],[Total_Cost]]&lt;25,"low",IF(Table1[[#This Row],[Total_Cost]]&lt;60,"medium","high"))</f>
        <v>medium</v>
      </c>
      <c r="Q594" t="str">
        <f>IF(Table1[[#This Row],[Discount_Applied]]=TRUE,"discount applied","no discount")</f>
        <v>discount applied</v>
      </c>
    </row>
    <row r="595" spans="1:17" x14ac:dyDescent="0.3">
      <c r="A595">
        <v>1000000593</v>
      </c>
      <c r="B595" s="1">
        <v>44740.930810185186</v>
      </c>
      <c r="C595" t="s">
        <v>1175</v>
      </c>
      <c r="D595" t="s">
        <v>1176</v>
      </c>
      <c r="E595">
        <v>9</v>
      </c>
      <c r="F595">
        <v>72.150000000000006</v>
      </c>
      <c r="G595" t="s">
        <v>23</v>
      </c>
      <c r="H595" t="s">
        <v>24</v>
      </c>
      <c r="I595" t="s">
        <v>25</v>
      </c>
      <c r="J595" t="b">
        <v>0</v>
      </c>
      <c r="K595" t="s">
        <v>42</v>
      </c>
      <c r="L595" t="s">
        <v>27</v>
      </c>
      <c r="M595" t="s">
        <v>43</v>
      </c>
      <c r="N595">
        <f>YEAR(Table1[[#This Row],[Date]])</f>
        <v>2022</v>
      </c>
      <c r="O595" t="str">
        <f>TEXT(Table1[[#This Row],[Date]],"mmm")</f>
        <v>Jun</v>
      </c>
      <c r="P595" t="str">
        <f>IF(Table1[[#This Row],[Total_Cost]]&lt;25,"low",IF(Table1[[#This Row],[Total_Cost]]&lt;60,"medium","high"))</f>
        <v>high</v>
      </c>
      <c r="Q595" t="str">
        <f>IF(Table1[[#This Row],[Discount_Applied]]=TRUE,"discount applied","no discount")</f>
        <v>no discount</v>
      </c>
    </row>
    <row r="596" spans="1:17" x14ac:dyDescent="0.3">
      <c r="A596">
        <v>1000000594</v>
      </c>
      <c r="B596" s="1">
        <v>43864.264768518522</v>
      </c>
      <c r="C596" t="s">
        <v>1177</v>
      </c>
      <c r="D596" t="s">
        <v>379</v>
      </c>
      <c r="E596">
        <v>5</v>
      </c>
      <c r="F596">
        <v>87.86</v>
      </c>
      <c r="G596" t="s">
        <v>23</v>
      </c>
      <c r="H596" t="s">
        <v>24</v>
      </c>
      <c r="I596" t="s">
        <v>33</v>
      </c>
      <c r="J596" t="b">
        <v>1</v>
      </c>
      <c r="K596" t="s">
        <v>62</v>
      </c>
      <c r="L596" t="s">
        <v>19</v>
      </c>
      <c r="M596" t="s">
        <v>43</v>
      </c>
      <c r="N596">
        <f>YEAR(Table1[[#This Row],[Date]])</f>
        <v>2020</v>
      </c>
      <c r="O596" t="str">
        <f>TEXT(Table1[[#This Row],[Date]],"mmm")</f>
        <v>Feb</v>
      </c>
      <c r="P596" t="str">
        <f>IF(Table1[[#This Row],[Total_Cost]]&lt;25,"low",IF(Table1[[#This Row],[Total_Cost]]&lt;60,"medium","high"))</f>
        <v>high</v>
      </c>
      <c r="Q596" t="str">
        <f>IF(Table1[[#This Row],[Discount_Applied]]=TRUE,"discount applied","no discount")</f>
        <v>discount applied</v>
      </c>
    </row>
    <row r="597" spans="1:17" x14ac:dyDescent="0.3">
      <c r="A597">
        <v>1000000595</v>
      </c>
      <c r="B597" s="1">
        <v>44487.613506944443</v>
      </c>
      <c r="C597" t="s">
        <v>1178</v>
      </c>
      <c r="D597" t="s">
        <v>538</v>
      </c>
      <c r="E597">
        <v>5</v>
      </c>
      <c r="F597">
        <v>15.09</v>
      </c>
      <c r="G597" t="s">
        <v>31</v>
      </c>
      <c r="H597" t="s">
        <v>65</v>
      </c>
      <c r="I597" t="s">
        <v>17</v>
      </c>
      <c r="J597" t="b">
        <v>0</v>
      </c>
      <c r="K597" t="s">
        <v>47</v>
      </c>
      <c r="L597" t="s">
        <v>52</v>
      </c>
      <c r="M597" t="s">
        <v>43</v>
      </c>
      <c r="N597">
        <f>YEAR(Table1[[#This Row],[Date]])</f>
        <v>2021</v>
      </c>
      <c r="O597" t="str">
        <f>TEXT(Table1[[#This Row],[Date]],"mmm")</f>
        <v>Oct</v>
      </c>
      <c r="P597" t="str">
        <f>IF(Table1[[#This Row],[Total_Cost]]&lt;25,"low",IF(Table1[[#This Row],[Total_Cost]]&lt;60,"medium","high"))</f>
        <v>low</v>
      </c>
      <c r="Q597" t="str">
        <f>IF(Table1[[#This Row],[Discount_Applied]]=TRUE,"discount applied","no discount")</f>
        <v>no discount</v>
      </c>
    </row>
    <row r="598" spans="1:17" x14ac:dyDescent="0.3">
      <c r="A598">
        <v>1000000596</v>
      </c>
      <c r="B598" s="1">
        <v>44794.440208333333</v>
      </c>
      <c r="C598" t="s">
        <v>1179</v>
      </c>
      <c r="D598" t="s">
        <v>1180</v>
      </c>
      <c r="E598">
        <v>2</v>
      </c>
      <c r="F598">
        <v>54.27</v>
      </c>
      <c r="G598" t="s">
        <v>15</v>
      </c>
      <c r="H598" t="s">
        <v>36</v>
      </c>
      <c r="I598" t="s">
        <v>25</v>
      </c>
      <c r="J598" t="b">
        <v>1</v>
      </c>
      <c r="K598" t="s">
        <v>80</v>
      </c>
      <c r="L598" t="s">
        <v>27</v>
      </c>
      <c r="M598" t="s">
        <v>28</v>
      </c>
      <c r="N598">
        <f>YEAR(Table1[[#This Row],[Date]])</f>
        <v>2022</v>
      </c>
      <c r="O598" t="str">
        <f>TEXT(Table1[[#This Row],[Date]],"mmm")</f>
        <v>Aug</v>
      </c>
      <c r="P598" t="str">
        <f>IF(Table1[[#This Row],[Total_Cost]]&lt;25,"low",IF(Table1[[#This Row],[Total_Cost]]&lt;60,"medium","high"))</f>
        <v>medium</v>
      </c>
      <c r="Q598" t="str">
        <f>IF(Table1[[#This Row],[Discount_Applied]]=TRUE,"discount applied","no discount")</f>
        <v>discount applied</v>
      </c>
    </row>
    <row r="599" spans="1:17" x14ac:dyDescent="0.3">
      <c r="A599">
        <v>1000000597</v>
      </c>
      <c r="B599" s="1">
        <v>43862.496423611112</v>
      </c>
      <c r="C599" t="s">
        <v>1181</v>
      </c>
      <c r="D599" t="s">
        <v>546</v>
      </c>
      <c r="E599">
        <v>1</v>
      </c>
      <c r="F599">
        <v>63.55</v>
      </c>
      <c r="G599" t="s">
        <v>23</v>
      </c>
      <c r="H599" t="s">
        <v>96</v>
      </c>
      <c r="I599" t="s">
        <v>33</v>
      </c>
      <c r="J599" t="b">
        <v>0</v>
      </c>
      <c r="K599" t="s">
        <v>18</v>
      </c>
      <c r="L599" t="s">
        <v>52</v>
      </c>
      <c r="M599" t="s">
        <v>20</v>
      </c>
      <c r="N599">
        <f>YEAR(Table1[[#This Row],[Date]])</f>
        <v>2020</v>
      </c>
      <c r="O599" t="str">
        <f>TEXT(Table1[[#This Row],[Date]],"mmm")</f>
        <v>Feb</v>
      </c>
      <c r="P599" t="str">
        <f>IF(Table1[[#This Row],[Total_Cost]]&lt;25,"low",IF(Table1[[#This Row],[Total_Cost]]&lt;60,"medium","high"))</f>
        <v>high</v>
      </c>
      <c r="Q599" t="str">
        <f>IF(Table1[[#This Row],[Discount_Applied]]=TRUE,"discount applied","no discount")</f>
        <v>no discount</v>
      </c>
    </row>
    <row r="600" spans="1:17" x14ac:dyDescent="0.3">
      <c r="A600">
        <v>1000000598</v>
      </c>
      <c r="B600" s="1">
        <v>45106.468576388892</v>
      </c>
      <c r="C600" t="s">
        <v>1182</v>
      </c>
      <c r="D600" t="s">
        <v>1183</v>
      </c>
      <c r="E600">
        <v>8</v>
      </c>
      <c r="F600">
        <v>50.89</v>
      </c>
      <c r="G600" t="s">
        <v>23</v>
      </c>
      <c r="H600" t="s">
        <v>77</v>
      </c>
      <c r="I600" t="s">
        <v>33</v>
      </c>
      <c r="J600" t="b">
        <v>1</v>
      </c>
      <c r="K600" t="s">
        <v>42</v>
      </c>
      <c r="L600" t="s">
        <v>27</v>
      </c>
      <c r="M600" t="s">
        <v>28</v>
      </c>
      <c r="N600">
        <f>YEAR(Table1[[#This Row],[Date]])</f>
        <v>2023</v>
      </c>
      <c r="O600" t="str">
        <f>TEXT(Table1[[#This Row],[Date]],"mmm")</f>
        <v>Jun</v>
      </c>
      <c r="P600" t="str">
        <f>IF(Table1[[#This Row],[Total_Cost]]&lt;25,"low",IF(Table1[[#This Row],[Total_Cost]]&lt;60,"medium","high"))</f>
        <v>medium</v>
      </c>
      <c r="Q600" t="str">
        <f>IF(Table1[[#This Row],[Discount_Applied]]=TRUE,"discount applied","no discount")</f>
        <v>discount applied</v>
      </c>
    </row>
    <row r="601" spans="1:17" x14ac:dyDescent="0.3">
      <c r="A601">
        <v>1000000599</v>
      </c>
      <c r="B601" s="1">
        <v>44786.148425925923</v>
      </c>
      <c r="C601" t="s">
        <v>1184</v>
      </c>
      <c r="D601" t="s">
        <v>1185</v>
      </c>
      <c r="E601">
        <v>3</v>
      </c>
      <c r="F601">
        <v>60.65</v>
      </c>
      <c r="G601" t="s">
        <v>31</v>
      </c>
      <c r="H601" t="s">
        <v>50</v>
      </c>
      <c r="I601" t="s">
        <v>33</v>
      </c>
      <c r="J601" t="b">
        <v>0</v>
      </c>
      <c r="K601" t="s">
        <v>18</v>
      </c>
      <c r="L601" t="s">
        <v>27</v>
      </c>
      <c r="M601" t="s">
        <v>28</v>
      </c>
      <c r="N601">
        <f>YEAR(Table1[[#This Row],[Date]])</f>
        <v>2022</v>
      </c>
      <c r="O601" t="str">
        <f>TEXT(Table1[[#This Row],[Date]],"mmm")</f>
        <v>Aug</v>
      </c>
      <c r="P601" t="str">
        <f>IF(Table1[[#This Row],[Total_Cost]]&lt;25,"low",IF(Table1[[#This Row],[Total_Cost]]&lt;60,"medium","high"))</f>
        <v>high</v>
      </c>
      <c r="Q601" t="str">
        <f>IF(Table1[[#This Row],[Discount_Applied]]=TRUE,"discount applied","no discount")</f>
        <v>no discount</v>
      </c>
    </row>
    <row r="602" spans="1:17" x14ac:dyDescent="0.3">
      <c r="A602">
        <v>1000000600</v>
      </c>
      <c r="B602" s="1">
        <v>44247.482534722221</v>
      </c>
      <c r="C602" t="s">
        <v>1186</v>
      </c>
      <c r="D602" t="s">
        <v>1187</v>
      </c>
      <c r="E602">
        <v>10</v>
      </c>
      <c r="F602">
        <v>49.19</v>
      </c>
      <c r="G602" t="s">
        <v>23</v>
      </c>
      <c r="H602" t="s">
        <v>96</v>
      </c>
      <c r="I602" t="s">
        <v>25</v>
      </c>
      <c r="J602" t="b">
        <v>0</v>
      </c>
      <c r="K602" t="s">
        <v>47</v>
      </c>
      <c r="L602" t="s">
        <v>52</v>
      </c>
      <c r="M602" t="s">
        <v>28</v>
      </c>
      <c r="N602">
        <f>YEAR(Table1[[#This Row],[Date]])</f>
        <v>2021</v>
      </c>
      <c r="O602" t="str">
        <f>TEXT(Table1[[#This Row],[Date]],"mmm")</f>
        <v>Feb</v>
      </c>
      <c r="P602" t="str">
        <f>IF(Table1[[#This Row],[Total_Cost]]&lt;25,"low",IF(Table1[[#This Row],[Total_Cost]]&lt;60,"medium","high"))</f>
        <v>medium</v>
      </c>
      <c r="Q602" t="str">
        <f>IF(Table1[[#This Row],[Discount_Applied]]=TRUE,"discount applied","no discount")</f>
        <v>no discount</v>
      </c>
    </row>
    <row r="603" spans="1:17" x14ac:dyDescent="0.3">
      <c r="A603">
        <v>1000000601</v>
      </c>
      <c r="B603" s="1">
        <v>44226.959131944444</v>
      </c>
      <c r="C603" t="s">
        <v>1188</v>
      </c>
      <c r="D603" t="s">
        <v>1189</v>
      </c>
      <c r="E603">
        <v>1</v>
      </c>
      <c r="F603">
        <v>66.45</v>
      </c>
      <c r="G603" t="s">
        <v>41</v>
      </c>
      <c r="H603" t="s">
        <v>96</v>
      </c>
      <c r="I603" t="s">
        <v>37</v>
      </c>
      <c r="J603" t="b">
        <v>1</v>
      </c>
      <c r="K603" t="s">
        <v>62</v>
      </c>
      <c r="L603" t="s">
        <v>52</v>
      </c>
      <c r="M603" t="s">
        <v>43</v>
      </c>
      <c r="N603">
        <f>YEAR(Table1[[#This Row],[Date]])</f>
        <v>2021</v>
      </c>
      <c r="O603" t="str">
        <f>TEXT(Table1[[#This Row],[Date]],"mmm")</f>
        <v>Jan</v>
      </c>
      <c r="P603" t="str">
        <f>IF(Table1[[#This Row],[Total_Cost]]&lt;25,"low",IF(Table1[[#This Row],[Total_Cost]]&lt;60,"medium","high"))</f>
        <v>high</v>
      </c>
      <c r="Q603" t="str">
        <f>IF(Table1[[#This Row],[Discount_Applied]]=TRUE,"discount applied","no discount")</f>
        <v>discount applied</v>
      </c>
    </row>
    <row r="604" spans="1:17" x14ac:dyDescent="0.3">
      <c r="A604">
        <v>1000000602</v>
      </c>
      <c r="B604" s="1">
        <v>44458.867534722223</v>
      </c>
      <c r="C604" t="s">
        <v>1190</v>
      </c>
      <c r="D604" t="s">
        <v>707</v>
      </c>
      <c r="E604">
        <v>2</v>
      </c>
      <c r="F604">
        <v>89.05</v>
      </c>
      <c r="G604" t="s">
        <v>15</v>
      </c>
      <c r="H604" t="s">
        <v>16</v>
      </c>
      <c r="I604" t="s">
        <v>25</v>
      </c>
      <c r="J604" t="b">
        <v>1</v>
      </c>
      <c r="K604" t="s">
        <v>42</v>
      </c>
      <c r="L604" t="s">
        <v>27</v>
      </c>
      <c r="M604" t="s">
        <v>20</v>
      </c>
      <c r="N604">
        <f>YEAR(Table1[[#This Row],[Date]])</f>
        <v>2021</v>
      </c>
      <c r="O604" t="str">
        <f>TEXT(Table1[[#This Row],[Date]],"mmm")</f>
        <v>Sep</v>
      </c>
      <c r="P604" t="str">
        <f>IF(Table1[[#This Row],[Total_Cost]]&lt;25,"low",IF(Table1[[#This Row],[Total_Cost]]&lt;60,"medium","high"))</f>
        <v>high</v>
      </c>
      <c r="Q604" t="str">
        <f>IF(Table1[[#This Row],[Discount_Applied]]=TRUE,"discount applied","no discount")</f>
        <v>discount applied</v>
      </c>
    </row>
    <row r="605" spans="1:17" x14ac:dyDescent="0.3">
      <c r="A605">
        <v>1000000603</v>
      </c>
      <c r="B605" s="1">
        <v>43920.505023148151</v>
      </c>
      <c r="C605" t="s">
        <v>1191</v>
      </c>
      <c r="D605" t="s">
        <v>1192</v>
      </c>
      <c r="E605">
        <v>9</v>
      </c>
      <c r="F605">
        <v>38.14</v>
      </c>
      <c r="G605" t="s">
        <v>23</v>
      </c>
      <c r="H605" t="s">
        <v>129</v>
      </c>
      <c r="I605" t="s">
        <v>59</v>
      </c>
      <c r="J605" t="b">
        <v>0</v>
      </c>
      <c r="K605" t="s">
        <v>47</v>
      </c>
      <c r="L605" t="s">
        <v>52</v>
      </c>
      <c r="M605" t="s">
        <v>20</v>
      </c>
      <c r="N605">
        <f>YEAR(Table1[[#This Row],[Date]])</f>
        <v>2020</v>
      </c>
      <c r="O605" t="str">
        <f>TEXT(Table1[[#This Row],[Date]],"mmm")</f>
        <v>Mar</v>
      </c>
      <c r="P605" t="str">
        <f>IF(Table1[[#This Row],[Total_Cost]]&lt;25,"low",IF(Table1[[#This Row],[Total_Cost]]&lt;60,"medium","high"))</f>
        <v>medium</v>
      </c>
      <c r="Q605" t="str">
        <f>IF(Table1[[#This Row],[Discount_Applied]]=TRUE,"discount applied","no discount")</f>
        <v>no discount</v>
      </c>
    </row>
    <row r="606" spans="1:17" x14ac:dyDescent="0.3">
      <c r="A606">
        <v>1000000604</v>
      </c>
      <c r="B606" s="1">
        <v>44141.75644675926</v>
      </c>
      <c r="C606" t="s">
        <v>1193</v>
      </c>
      <c r="D606" t="s">
        <v>1194</v>
      </c>
      <c r="E606">
        <v>2</v>
      </c>
      <c r="F606">
        <v>82.05</v>
      </c>
      <c r="G606" t="s">
        <v>23</v>
      </c>
      <c r="H606" t="s">
        <v>50</v>
      </c>
      <c r="I606" t="s">
        <v>46</v>
      </c>
      <c r="J606" t="b">
        <v>0</v>
      </c>
      <c r="K606" t="s">
        <v>51</v>
      </c>
      <c r="L606" t="s">
        <v>38</v>
      </c>
      <c r="M606" t="s">
        <v>20</v>
      </c>
      <c r="N606">
        <f>YEAR(Table1[[#This Row],[Date]])</f>
        <v>2020</v>
      </c>
      <c r="O606" t="str">
        <f>TEXT(Table1[[#This Row],[Date]],"mmm")</f>
        <v>Nov</v>
      </c>
      <c r="P606" t="str">
        <f>IF(Table1[[#This Row],[Total_Cost]]&lt;25,"low",IF(Table1[[#This Row],[Total_Cost]]&lt;60,"medium","high"))</f>
        <v>high</v>
      </c>
      <c r="Q606" t="str">
        <f>IF(Table1[[#This Row],[Discount_Applied]]=TRUE,"discount applied","no discount")</f>
        <v>no discount</v>
      </c>
    </row>
    <row r="607" spans="1:17" x14ac:dyDescent="0.3">
      <c r="A607">
        <v>1000000605</v>
      </c>
      <c r="B607" s="1">
        <v>44861.431689814817</v>
      </c>
      <c r="C607" t="s">
        <v>1195</v>
      </c>
      <c r="D607" t="s">
        <v>815</v>
      </c>
      <c r="E607">
        <v>4</v>
      </c>
      <c r="F607">
        <v>62.64</v>
      </c>
      <c r="G607" t="s">
        <v>41</v>
      </c>
      <c r="H607" t="s">
        <v>96</v>
      </c>
      <c r="I607" t="s">
        <v>46</v>
      </c>
      <c r="J607" t="b">
        <v>1</v>
      </c>
      <c r="K607" t="s">
        <v>62</v>
      </c>
      <c r="L607" t="s">
        <v>52</v>
      </c>
      <c r="M607" t="s">
        <v>20</v>
      </c>
      <c r="N607">
        <f>YEAR(Table1[[#This Row],[Date]])</f>
        <v>2022</v>
      </c>
      <c r="O607" t="str">
        <f>TEXT(Table1[[#This Row],[Date]],"mmm")</f>
        <v>Oct</v>
      </c>
      <c r="P607" t="str">
        <f>IF(Table1[[#This Row],[Total_Cost]]&lt;25,"low",IF(Table1[[#This Row],[Total_Cost]]&lt;60,"medium","high"))</f>
        <v>high</v>
      </c>
      <c r="Q607" t="str">
        <f>IF(Table1[[#This Row],[Discount_Applied]]=TRUE,"discount applied","no discount")</f>
        <v>discount applied</v>
      </c>
    </row>
    <row r="608" spans="1:17" x14ac:dyDescent="0.3">
      <c r="A608">
        <v>1000000606</v>
      </c>
      <c r="B608" s="1">
        <v>44809.631099537037</v>
      </c>
      <c r="C608" t="s">
        <v>239</v>
      </c>
      <c r="D608" t="s">
        <v>1196</v>
      </c>
      <c r="E608">
        <v>6</v>
      </c>
      <c r="F608">
        <v>46.61</v>
      </c>
      <c r="G608" t="s">
        <v>15</v>
      </c>
      <c r="H608" t="s">
        <v>32</v>
      </c>
      <c r="I608" t="s">
        <v>33</v>
      </c>
      <c r="J608" t="b">
        <v>1</v>
      </c>
      <c r="K608" t="s">
        <v>18</v>
      </c>
      <c r="L608" t="s">
        <v>52</v>
      </c>
      <c r="M608" t="s">
        <v>28</v>
      </c>
      <c r="N608">
        <f>YEAR(Table1[[#This Row],[Date]])</f>
        <v>2022</v>
      </c>
      <c r="O608" t="str">
        <f>TEXT(Table1[[#This Row],[Date]],"mmm")</f>
        <v>Sep</v>
      </c>
      <c r="P608" t="str">
        <f>IF(Table1[[#This Row],[Total_Cost]]&lt;25,"low",IF(Table1[[#This Row],[Total_Cost]]&lt;60,"medium","high"))</f>
        <v>medium</v>
      </c>
      <c r="Q608" t="str">
        <f>IF(Table1[[#This Row],[Discount_Applied]]=TRUE,"discount applied","no discount")</f>
        <v>discount applied</v>
      </c>
    </row>
    <row r="609" spans="1:17" x14ac:dyDescent="0.3">
      <c r="A609">
        <v>1000000607</v>
      </c>
      <c r="B609" s="1">
        <v>45158.820590277777</v>
      </c>
      <c r="C609" t="s">
        <v>1197</v>
      </c>
      <c r="D609" t="s">
        <v>1198</v>
      </c>
      <c r="E609">
        <v>10</v>
      </c>
      <c r="F609">
        <v>75.84</v>
      </c>
      <c r="G609" t="s">
        <v>15</v>
      </c>
      <c r="H609" t="s">
        <v>65</v>
      </c>
      <c r="I609" t="s">
        <v>46</v>
      </c>
      <c r="J609" t="b">
        <v>0</v>
      </c>
      <c r="K609" t="s">
        <v>80</v>
      </c>
      <c r="L609" t="s">
        <v>19</v>
      </c>
      <c r="M609" t="s">
        <v>43</v>
      </c>
      <c r="N609">
        <f>YEAR(Table1[[#This Row],[Date]])</f>
        <v>2023</v>
      </c>
      <c r="O609" t="str">
        <f>TEXT(Table1[[#This Row],[Date]],"mmm")</f>
        <v>Aug</v>
      </c>
      <c r="P609" t="str">
        <f>IF(Table1[[#This Row],[Total_Cost]]&lt;25,"low",IF(Table1[[#This Row],[Total_Cost]]&lt;60,"medium","high"))</f>
        <v>high</v>
      </c>
      <c r="Q609" t="str">
        <f>IF(Table1[[#This Row],[Discount_Applied]]=TRUE,"discount applied","no discount")</f>
        <v>no discount</v>
      </c>
    </row>
    <row r="610" spans="1:17" x14ac:dyDescent="0.3">
      <c r="A610">
        <v>1000000608</v>
      </c>
      <c r="B610" s="1">
        <v>44508.701979166668</v>
      </c>
      <c r="C610" t="s">
        <v>1199</v>
      </c>
      <c r="D610" t="s">
        <v>487</v>
      </c>
      <c r="E610">
        <v>3</v>
      </c>
      <c r="F610">
        <v>49.5</v>
      </c>
      <c r="G610" t="s">
        <v>15</v>
      </c>
      <c r="H610" t="s">
        <v>16</v>
      </c>
      <c r="I610" t="s">
        <v>37</v>
      </c>
      <c r="J610" t="b">
        <v>1</v>
      </c>
      <c r="K610" t="s">
        <v>80</v>
      </c>
      <c r="L610" t="s">
        <v>38</v>
      </c>
      <c r="M610" t="s">
        <v>28</v>
      </c>
      <c r="N610">
        <f>YEAR(Table1[[#This Row],[Date]])</f>
        <v>2021</v>
      </c>
      <c r="O610" t="str">
        <f>TEXT(Table1[[#This Row],[Date]],"mmm")</f>
        <v>Nov</v>
      </c>
      <c r="P610" t="str">
        <f>IF(Table1[[#This Row],[Total_Cost]]&lt;25,"low",IF(Table1[[#This Row],[Total_Cost]]&lt;60,"medium","high"))</f>
        <v>medium</v>
      </c>
      <c r="Q610" t="str">
        <f>IF(Table1[[#This Row],[Discount_Applied]]=TRUE,"discount applied","no discount")</f>
        <v>discount applied</v>
      </c>
    </row>
    <row r="611" spans="1:17" x14ac:dyDescent="0.3">
      <c r="A611">
        <v>1000000609</v>
      </c>
      <c r="B611" s="1">
        <v>45011.243263888886</v>
      </c>
      <c r="C611" t="s">
        <v>1200</v>
      </c>
      <c r="D611" t="s">
        <v>546</v>
      </c>
      <c r="E611">
        <v>8</v>
      </c>
      <c r="F611">
        <v>84.41</v>
      </c>
      <c r="G611" t="s">
        <v>31</v>
      </c>
      <c r="H611" t="s">
        <v>77</v>
      </c>
      <c r="I611" t="s">
        <v>59</v>
      </c>
      <c r="J611" t="b">
        <v>1</v>
      </c>
      <c r="K611" t="s">
        <v>26</v>
      </c>
      <c r="L611" t="s">
        <v>38</v>
      </c>
      <c r="M611" t="s">
        <v>43</v>
      </c>
      <c r="N611">
        <f>YEAR(Table1[[#This Row],[Date]])</f>
        <v>2023</v>
      </c>
      <c r="O611" t="str">
        <f>TEXT(Table1[[#This Row],[Date]],"mmm")</f>
        <v>Mar</v>
      </c>
      <c r="P611" t="str">
        <f>IF(Table1[[#This Row],[Total_Cost]]&lt;25,"low",IF(Table1[[#This Row],[Total_Cost]]&lt;60,"medium","high"))</f>
        <v>high</v>
      </c>
      <c r="Q611" t="str">
        <f>IF(Table1[[#This Row],[Discount_Applied]]=TRUE,"discount applied","no discount")</f>
        <v>discount applied</v>
      </c>
    </row>
    <row r="612" spans="1:17" x14ac:dyDescent="0.3">
      <c r="A612">
        <v>1000000610</v>
      </c>
      <c r="B612" s="1">
        <v>44230.585312499999</v>
      </c>
      <c r="C612" t="s">
        <v>1201</v>
      </c>
      <c r="D612" t="s">
        <v>1202</v>
      </c>
      <c r="E612">
        <v>1</v>
      </c>
      <c r="F612">
        <v>22.7</v>
      </c>
      <c r="G612" t="s">
        <v>41</v>
      </c>
      <c r="H612" t="s">
        <v>65</v>
      </c>
      <c r="I612" t="s">
        <v>46</v>
      </c>
      <c r="J612" t="b">
        <v>1</v>
      </c>
      <c r="K612" t="s">
        <v>87</v>
      </c>
      <c r="L612" t="s">
        <v>38</v>
      </c>
      <c r="M612" t="s">
        <v>28</v>
      </c>
      <c r="N612">
        <f>YEAR(Table1[[#This Row],[Date]])</f>
        <v>2021</v>
      </c>
      <c r="O612" t="str">
        <f>TEXT(Table1[[#This Row],[Date]],"mmm")</f>
        <v>Feb</v>
      </c>
      <c r="P612" t="str">
        <f>IF(Table1[[#This Row],[Total_Cost]]&lt;25,"low",IF(Table1[[#This Row],[Total_Cost]]&lt;60,"medium","high"))</f>
        <v>low</v>
      </c>
      <c r="Q612" t="str">
        <f>IF(Table1[[#This Row],[Discount_Applied]]=TRUE,"discount applied","no discount")</f>
        <v>discount applied</v>
      </c>
    </row>
    <row r="613" spans="1:17" x14ac:dyDescent="0.3">
      <c r="A613">
        <v>1000000611</v>
      </c>
      <c r="B613" s="1">
        <v>45217.450104166666</v>
      </c>
      <c r="C613" t="s">
        <v>1203</v>
      </c>
      <c r="D613" t="s">
        <v>759</v>
      </c>
      <c r="E613">
        <v>7</v>
      </c>
      <c r="F613">
        <v>21.3</v>
      </c>
      <c r="G613" t="s">
        <v>41</v>
      </c>
      <c r="H613" t="s">
        <v>24</v>
      </c>
      <c r="I613" t="s">
        <v>17</v>
      </c>
      <c r="J613" t="b">
        <v>1</v>
      </c>
      <c r="K613" t="s">
        <v>26</v>
      </c>
      <c r="L613" t="s">
        <v>52</v>
      </c>
      <c r="M613" t="s">
        <v>20</v>
      </c>
      <c r="N613">
        <f>YEAR(Table1[[#This Row],[Date]])</f>
        <v>2023</v>
      </c>
      <c r="O613" t="str">
        <f>TEXT(Table1[[#This Row],[Date]],"mmm")</f>
        <v>Oct</v>
      </c>
      <c r="P613" t="str">
        <f>IF(Table1[[#This Row],[Total_Cost]]&lt;25,"low",IF(Table1[[#This Row],[Total_Cost]]&lt;60,"medium","high"))</f>
        <v>low</v>
      </c>
      <c r="Q613" t="str">
        <f>IF(Table1[[#This Row],[Discount_Applied]]=TRUE,"discount applied","no discount")</f>
        <v>discount applied</v>
      </c>
    </row>
    <row r="614" spans="1:17" x14ac:dyDescent="0.3">
      <c r="A614">
        <v>1000000612</v>
      </c>
      <c r="B614" s="1">
        <v>44628.533495370371</v>
      </c>
      <c r="C614" t="s">
        <v>1204</v>
      </c>
      <c r="D614" t="s">
        <v>1205</v>
      </c>
      <c r="E614">
        <v>4</v>
      </c>
      <c r="F614">
        <v>51.77</v>
      </c>
      <c r="G614" t="s">
        <v>41</v>
      </c>
      <c r="H614" t="s">
        <v>36</v>
      </c>
      <c r="I614" t="s">
        <v>37</v>
      </c>
      <c r="J614" t="b">
        <v>1</v>
      </c>
      <c r="K614" t="s">
        <v>18</v>
      </c>
      <c r="L614" t="s">
        <v>38</v>
      </c>
      <c r="M614" t="s">
        <v>28</v>
      </c>
      <c r="N614">
        <f>YEAR(Table1[[#This Row],[Date]])</f>
        <v>2022</v>
      </c>
      <c r="O614" t="str">
        <f>TEXT(Table1[[#This Row],[Date]],"mmm")</f>
        <v>Mar</v>
      </c>
      <c r="P614" t="str">
        <f>IF(Table1[[#This Row],[Total_Cost]]&lt;25,"low",IF(Table1[[#This Row],[Total_Cost]]&lt;60,"medium","high"))</f>
        <v>medium</v>
      </c>
      <c r="Q614" t="str">
        <f>IF(Table1[[#This Row],[Discount_Applied]]=TRUE,"discount applied","no discount")</f>
        <v>discount applied</v>
      </c>
    </row>
    <row r="615" spans="1:17" x14ac:dyDescent="0.3">
      <c r="A615">
        <v>1000000613</v>
      </c>
      <c r="B615" s="1">
        <v>44651.96025462963</v>
      </c>
      <c r="C615" t="s">
        <v>1206</v>
      </c>
      <c r="D615" t="s">
        <v>1207</v>
      </c>
      <c r="E615">
        <v>8</v>
      </c>
      <c r="F615">
        <v>59.88</v>
      </c>
      <c r="G615" t="s">
        <v>41</v>
      </c>
      <c r="H615" t="s">
        <v>77</v>
      </c>
      <c r="I615" t="s">
        <v>37</v>
      </c>
      <c r="J615" t="b">
        <v>0</v>
      </c>
      <c r="K615" t="s">
        <v>80</v>
      </c>
      <c r="L615" t="s">
        <v>19</v>
      </c>
      <c r="M615" t="s">
        <v>20</v>
      </c>
      <c r="N615">
        <f>YEAR(Table1[[#This Row],[Date]])</f>
        <v>2022</v>
      </c>
      <c r="O615" t="str">
        <f>TEXT(Table1[[#This Row],[Date]],"mmm")</f>
        <v>Mar</v>
      </c>
      <c r="P615" t="str">
        <f>IF(Table1[[#This Row],[Total_Cost]]&lt;25,"low",IF(Table1[[#This Row],[Total_Cost]]&lt;60,"medium","high"))</f>
        <v>medium</v>
      </c>
      <c r="Q615" t="str">
        <f>IF(Table1[[#This Row],[Discount_Applied]]=TRUE,"discount applied","no discount")</f>
        <v>no discount</v>
      </c>
    </row>
    <row r="616" spans="1:17" x14ac:dyDescent="0.3">
      <c r="A616">
        <v>1000000614</v>
      </c>
      <c r="B616" s="1">
        <v>45389.687974537039</v>
      </c>
      <c r="C616" t="s">
        <v>1208</v>
      </c>
      <c r="D616" t="s">
        <v>1209</v>
      </c>
      <c r="E616">
        <v>1</v>
      </c>
      <c r="F616">
        <v>57.26</v>
      </c>
      <c r="G616" t="s">
        <v>41</v>
      </c>
      <c r="H616" t="s">
        <v>32</v>
      </c>
      <c r="I616" t="s">
        <v>59</v>
      </c>
      <c r="J616" t="b">
        <v>0</v>
      </c>
      <c r="K616" t="s">
        <v>42</v>
      </c>
      <c r="L616" t="s">
        <v>27</v>
      </c>
      <c r="M616" t="s">
        <v>20</v>
      </c>
      <c r="N616">
        <f>YEAR(Table1[[#This Row],[Date]])</f>
        <v>2024</v>
      </c>
      <c r="O616" t="str">
        <f>TEXT(Table1[[#This Row],[Date]],"mmm")</f>
        <v>Apr</v>
      </c>
      <c r="P616" t="str">
        <f>IF(Table1[[#This Row],[Total_Cost]]&lt;25,"low",IF(Table1[[#This Row],[Total_Cost]]&lt;60,"medium","high"))</f>
        <v>medium</v>
      </c>
      <c r="Q616" t="str">
        <f>IF(Table1[[#This Row],[Discount_Applied]]=TRUE,"discount applied","no discount")</f>
        <v>no discount</v>
      </c>
    </row>
    <row r="617" spans="1:17" x14ac:dyDescent="0.3">
      <c r="A617">
        <v>1000000615</v>
      </c>
      <c r="B617" s="1">
        <v>44900.035868055558</v>
      </c>
      <c r="C617" t="s">
        <v>1210</v>
      </c>
      <c r="D617" t="s">
        <v>828</v>
      </c>
      <c r="E617">
        <v>7</v>
      </c>
      <c r="F617">
        <v>83.15</v>
      </c>
      <c r="G617" t="s">
        <v>31</v>
      </c>
      <c r="H617" t="s">
        <v>24</v>
      </c>
      <c r="I617" t="s">
        <v>17</v>
      </c>
      <c r="J617" t="b">
        <v>0</v>
      </c>
      <c r="K617" t="s">
        <v>42</v>
      </c>
      <c r="L617" t="s">
        <v>19</v>
      </c>
      <c r="M617" t="s">
        <v>20</v>
      </c>
      <c r="N617">
        <f>YEAR(Table1[[#This Row],[Date]])</f>
        <v>2022</v>
      </c>
      <c r="O617" t="str">
        <f>TEXT(Table1[[#This Row],[Date]],"mmm")</f>
        <v>Dec</v>
      </c>
      <c r="P617" t="str">
        <f>IF(Table1[[#This Row],[Total_Cost]]&lt;25,"low",IF(Table1[[#This Row],[Total_Cost]]&lt;60,"medium","high"))</f>
        <v>high</v>
      </c>
      <c r="Q617" t="str">
        <f>IF(Table1[[#This Row],[Discount_Applied]]=TRUE,"discount applied","no discount")</f>
        <v>no discount</v>
      </c>
    </row>
    <row r="618" spans="1:17" x14ac:dyDescent="0.3">
      <c r="A618">
        <v>1000000616</v>
      </c>
      <c r="B618" s="1">
        <v>44300.942175925928</v>
      </c>
      <c r="C618" t="s">
        <v>1211</v>
      </c>
      <c r="D618" t="s">
        <v>1212</v>
      </c>
      <c r="E618">
        <v>10</v>
      </c>
      <c r="F618">
        <v>7.05</v>
      </c>
      <c r="G618" t="s">
        <v>31</v>
      </c>
      <c r="H618" t="s">
        <v>129</v>
      </c>
      <c r="I618" t="s">
        <v>37</v>
      </c>
      <c r="J618" t="b">
        <v>0</v>
      </c>
      <c r="K618" t="s">
        <v>18</v>
      </c>
      <c r="L618" t="s">
        <v>52</v>
      </c>
      <c r="M618" t="s">
        <v>43</v>
      </c>
      <c r="N618">
        <f>YEAR(Table1[[#This Row],[Date]])</f>
        <v>2021</v>
      </c>
      <c r="O618" t="str">
        <f>TEXT(Table1[[#This Row],[Date]],"mmm")</f>
        <v>Apr</v>
      </c>
      <c r="P618" t="str">
        <f>IF(Table1[[#This Row],[Total_Cost]]&lt;25,"low",IF(Table1[[#This Row],[Total_Cost]]&lt;60,"medium","high"))</f>
        <v>low</v>
      </c>
      <c r="Q618" t="str">
        <f>IF(Table1[[#This Row],[Discount_Applied]]=TRUE,"discount applied","no discount")</f>
        <v>no discount</v>
      </c>
    </row>
    <row r="619" spans="1:17" x14ac:dyDescent="0.3">
      <c r="A619">
        <v>1000000617</v>
      </c>
      <c r="B619" s="1">
        <v>45076.275023148148</v>
      </c>
      <c r="C619" t="s">
        <v>1213</v>
      </c>
      <c r="D619" t="s">
        <v>1214</v>
      </c>
      <c r="E619">
        <v>1</v>
      </c>
      <c r="F619">
        <v>43.33</v>
      </c>
      <c r="G619" t="s">
        <v>41</v>
      </c>
      <c r="H619" t="s">
        <v>24</v>
      </c>
      <c r="I619" t="s">
        <v>46</v>
      </c>
      <c r="J619" t="b">
        <v>1</v>
      </c>
      <c r="K619" t="s">
        <v>18</v>
      </c>
      <c r="L619" t="s">
        <v>38</v>
      </c>
      <c r="M619" t="s">
        <v>28</v>
      </c>
      <c r="N619">
        <f>YEAR(Table1[[#This Row],[Date]])</f>
        <v>2023</v>
      </c>
      <c r="O619" t="str">
        <f>TEXT(Table1[[#This Row],[Date]],"mmm")</f>
        <v>May</v>
      </c>
      <c r="P619" t="str">
        <f>IF(Table1[[#This Row],[Total_Cost]]&lt;25,"low",IF(Table1[[#This Row],[Total_Cost]]&lt;60,"medium","high"))</f>
        <v>medium</v>
      </c>
      <c r="Q619" t="str">
        <f>IF(Table1[[#This Row],[Discount_Applied]]=TRUE,"discount applied","no discount")</f>
        <v>discount applied</v>
      </c>
    </row>
    <row r="620" spans="1:17" x14ac:dyDescent="0.3">
      <c r="A620">
        <v>1000000618</v>
      </c>
      <c r="B620" s="1">
        <v>45407.02648148148</v>
      </c>
      <c r="C620" t="s">
        <v>1215</v>
      </c>
      <c r="D620" t="s">
        <v>1216</v>
      </c>
      <c r="E620">
        <v>6</v>
      </c>
      <c r="F620">
        <v>40.94</v>
      </c>
      <c r="G620" t="s">
        <v>15</v>
      </c>
      <c r="H620" t="s">
        <v>65</v>
      </c>
      <c r="I620" t="s">
        <v>37</v>
      </c>
      <c r="J620" t="b">
        <v>0</v>
      </c>
      <c r="K620" t="s">
        <v>51</v>
      </c>
      <c r="L620" t="s">
        <v>38</v>
      </c>
      <c r="M620" t="s">
        <v>28</v>
      </c>
      <c r="N620">
        <f>YEAR(Table1[[#This Row],[Date]])</f>
        <v>2024</v>
      </c>
      <c r="O620" t="str">
        <f>TEXT(Table1[[#This Row],[Date]],"mmm")</f>
        <v>Apr</v>
      </c>
      <c r="P620" t="str">
        <f>IF(Table1[[#This Row],[Total_Cost]]&lt;25,"low",IF(Table1[[#This Row],[Total_Cost]]&lt;60,"medium","high"))</f>
        <v>medium</v>
      </c>
      <c r="Q620" t="str">
        <f>IF(Table1[[#This Row],[Discount_Applied]]=TRUE,"discount applied","no discount")</f>
        <v>no discount</v>
      </c>
    </row>
    <row r="621" spans="1:17" x14ac:dyDescent="0.3">
      <c r="A621">
        <v>1000000619</v>
      </c>
      <c r="B621" s="1">
        <v>44094.932986111111</v>
      </c>
      <c r="C621" t="s">
        <v>1217</v>
      </c>
      <c r="D621" t="s">
        <v>1218</v>
      </c>
      <c r="E621">
        <v>5</v>
      </c>
      <c r="F621">
        <v>78.06</v>
      </c>
      <c r="G621" t="s">
        <v>41</v>
      </c>
      <c r="H621" t="s">
        <v>96</v>
      </c>
      <c r="I621" t="s">
        <v>17</v>
      </c>
      <c r="J621" t="b">
        <v>0</v>
      </c>
      <c r="K621" t="s">
        <v>51</v>
      </c>
      <c r="L621" t="s">
        <v>19</v>
      </c>
      <c r="M621" t="s">
        <v>43</v>
      </c>
      <c r="N621">
        <f>YEAR(Table1[[#This Row],[Date]])</f>
        <v>2020</v>
      </c>
      <c r="O621" t="str">
        <f>TEXT(Table1[[#This Row],[Date]],"mmm")</f>
        <v>Sep</v>
      </c>
      <c r="P621" t="str">
        <f>IF(Table1[[#This Row],[Total_Cost]]&lt;25,"low",IF(Table1[[#This Row],[Total_Cost]]&lt;60,"medium","high"))</f>
        <v>high</v>
      </c>
      <c r="Q621" t="str">
        <f>IF(Table1[[#This Row],[Discount_Applied]]=TRUE,"discount applied","no discount")</f>
        <v>no discount</v>
      </c>
    </row>
    <row r="622" spans="1:17" x14ac:dyDescent="0.3">
      <c r="A622">
        <v>1000000620</v>
      </c>
      <c r="B622" s="1">
        <v>44647.473993055559</v>
      </c>
      <c r="C622" t="s">
        <v>1219</v>
      </c>
      <c r="D622" t="s">
        <v>1220</v>
      </c>
      <c r="E622">
        <v>10</v>
      </c>
      <c r="F622">
        <v>68.709999999999994</v>
      </c>
      <c r="G622" t="s">
        <v>23</v>
      </c>
      <c r="H622" t="s">
        <v>50</v>
      </c>
      <c r="I622" t="s">
        <v>37</v>
      </c>
      <c r="J622" t="b">
        <v>0</v>
      </c>
      <c r="K622" t="s">
        <v>62</v>
      </c>
      <c r="L622" t="s">
        <v>19</v>
      </c>
      <c r="M622" t="s">
        <v>20</v>
      </c>
      <c r="N622">
        <f>YEAR(Table1[[#This Row],[Date]])</f>
        <v>2022</v>
      </c>
      <c r="O622" t="str">
        <f>TEXT(Table1[[#This Row],[Date]],"mmm")</f>
        <v>Mar</v>
      </c>
      <c r="P622" t="str">
        <f>IF(Table1[[#This Row],[Total_Cost]]&lt;25,"low",IF(Table1[[#This Row],[Total_Cost]]&lt;60,"medium","high"))</f>
        <v>high</v>
      </c>
      <c r="Q622" t="str">
        <f>IF(Table1[[#This Row],[Discount_Applied]]=TRUE,"discount applied","no discount")</f>
        <v>no discount</v>
      </c>
    </row>
    <row r="623" spans="1:17" x14ac:dyDescent="0.3">
      <c r="A623">
        <v>1000000621</v>
      </c>
      <c r="B623" s="1">
        <v>44389.259918981479</v>
      </c>
      <c r="C623" t="s">
        <v>1221</v>
      </c>
      <c r="D623" t="s">
        <v>139</v>
      </c>
      <c r="E623">
        <v>3</v>
      </c>
      <c r="F623">
        <v>92.17</v>
      </c>
      <c r="G623" t="s">
        <v>23</v>
      </c>
      <c r="H623" t="s">
        <v>16</v>
      </c>
      <c r="I623" t="s">
        <v>17</v>
      </c>
      <c r="J623" t="b">
        <v>0</v>
      </c>
      <c r="K623" t="s">
        <v>47</v>
      </c>
      <c r="L623" t="s">
        <v>52</v>
      </c>
      <c r="M623" t="s">
        <v>43</v>
      </c>
      <c r="N623">
        <f>YEAR(Table1[[#This Row],[Date]])</f>
        <v>2021</v>
      </c>
      <c r="O623" t="str">
        <f>TEXT(Table1[[#This Row],[Date]],"mmm")</f>
        <v>Jul</v>
      </c>
      <c r="P623" t="str">
        <f>IF(Table1[[#This Row],[Total_Cost]]&lt;25,"low",IF(Table1[[#This Row],[Total_Cost]]&lt;60,"medium","high"))</f>
        <v>high</v>
      </c>
      <c r="Q623" t="str">
        <f>IF(Table1[[#This Row],[Discount_Applied]]=TRUE,"discount applied","no discount")</f>
        <v>no discount</v>
      </c>
    </row>
    <row r="624" spans="1:17" x14ac:dyDescent="0.3">
      <c r="A624">
        <v>1000000622</v>
      </c>
      <c r="B624" s="1">
        <v>44183.82917824074</v>
      </c>
      <c r="C624" t="s">
        <v>1222</v>
      </c>
      <c r="D624" t="s">
        <v>1223</v>
      </c>
      <c r="E624">
        <v>6</v>
      </c>
      <c r="F624">
        <v>54.26</v>
      </c>
      <c r="G624" t="s">
        <v>23</v>
      </c>
      <c r="H624" t="s">
        <v>70</v>
      </c>
      <c r="I624" t="s">
        <v>37</v>
      </c>
      <c r="J624" t="b">
        <v>1</v>
      </c>
      <c r="K624" t="s">
        <v>51</v>
      </c>
      <c r="L624" t="s">
        <v>38</v>
      </c>
      <c r="M624" t="s">
        <v>28</v>
      </c>
      <c r="N624">
        <f>YEAR(Table1[[#This Row],[Date]])</f>
        <v>2020</v>
      </c>
      <c r="O624" t="str">
        <f>TEXT(Table1[[#This Row],[Date]],"mmm")</f>
        <v>Dec</v>
      </c>
      <c r="P624" t="str">
        <f>IF(Table1[[#This Row],[Total_Cost]]&lt;25,"low",IF(Table1[[#This Row],[Total_Cost]]&lt;60,"medium","high"))</f>
        <v>medium</v>
      </c>
      <c r="Q624" t="str">
        <f>IF(Table1[[#This Row],[Discount_Applied]]=TRUE,"discount applied","no discount")</f>
        <v>discount applied</v>
      </c>
    </row>
    <row r="625" spans="1:17" x14ac:dyDescent="0.3">
      <c r="A625">
        <v>1000000623</v>
      </c>
      <c r="B625" s="1">
        <v>44652.9221412037</v>
      </c>
      <c r="C625" t="s">
        <v>1224</v>
      </c>
      <c r="D625" t="s">
        <v>1225</v>
      </c>
      <c r="E625">
        <v>6</v>
      </c>
      <c r="F625">
        <v>54.7</v>
      </c>
      <c r="G625" t="s">
        <v>15</v>
      </c>
      <c r="H625" t="s">
        <v>70</v>
      </c>
      <c r="I625" t="s">
        <v>25</v>
      </c>
      <c r="J625" t="b">
        <v>0</v>
      </c>
      <c r="K625" t="s">
        <v>62</v>
      </c>
      <c r="L625" t="s">
        <v>19</v>
      </c>
      <c r="M625" t="s">
        <v>20</v>
      </c>
      <c r="N625">
        <f>YEAR(Table1[[#This Row],[Date]])</f>
        <v>2022</v>
      </c>
      <c r="O625" t="str">
        <f>TEXT(Table1[[#This Row],[Date]],"mmm")</f>
        <v>Apr</v>
      </c>
      <c r="P625" t="str">
        <f>IF(Table1[[#This Row],[Total_Cost]]&lt;25,"low",IF(Table1[[#This Row],[Total_Cost]]&lt;60,"medium","high"))</f>
        <v>medium</v>
      </c>
      <c r="Q625" t="str">
        <f>IF(Table1[[#This Row],[Discount_Applied]]=TRUE,"discount applied","no discount")</f>
        <v>no discount</v>
      </c>
    </row>
    <row r="626" spans="1:17" x14ac:dyDescent="0.3">
      <c r="A626">
        <v>1000000624</v>
      </c>
      <c r="B626" s="1">
        <v>45207.864004629628</v>
      </c>
      <c r="C626" t="s">
        <v>1226</v>
      </c>
      <c r="D626" t="s">
        <v>1227</v>
      </c>
      <c r="E626">
        <v>8</v>
      </c>
      <c r="F626">
        <v>93.17</v>
      </c>
      <c r="G626" t="s">
        <v>41</v>
      </c>
      <c r="H626" t="s">
        <v>24</v>
      </c>
      <c r="I626" t="s">
        <v>17</v>
      </c>
      <c r="J626" t="b">
        <v>0</v>
      </c>
      <c r="K626" t="s">
        <v>62</v>
      </c>
      <c r="L626" t="s">
        <v>52</v>
      </c>
      <c r="M626" t="s">
        <v>20</v>
      </c>
      <c r="N626">
        <f>YEAR(Table1[[#This Row],[Date]])</f>
        <v>2023</v>
      </c>
      <c r="O626" t="str">
        <f>TEXT(Table1[[#This Row],[Date]],"mmm")</f>
        <v>Oct</v>
      </c>
      <c r="P626" t="str">
        <f>IF(Table1[[#This Row],[Total_Cost]]&lt;25,"low",IF(Table1[[#This Row],[Total_Cost]]&lt;60,"medium","high"))</f>
        <v>high</v>
      </c>
      <c r="Q626" t="str">
        <f>IF(Table1[[#This Row],[Discount_Applied]]=TRUE,"discount applied","no discount")</f>
        <v>no discount</v>
      </c>
    </row>
    <row r="627" spans="1:17" x14ac:dyDescent="0.3">
      <c r="A627">
        <v>1000000625</v>
      </c>
      <c r="B627" s="1">
        <v>44074.381180555552</v>
      </c>
      <c r="C627" t="s">
        <v>1228</v>
      </c>
      <c r="D627" t="s">
        <v>1229</v>
      </c>
      <c r="E627">
        <v>5</v>
      </c>
      <c r="F627">
        <v>96.43</v>
      </c>
      <c r="G627" t="s">
        <v>15</v>
      </c>
      <c r="H627" t="s">
        <v>36</v>
      </c>
      <c r="I627" t="s">
        <v>25</v>
      </c>
      <c r="J627" t="b">
        <v>0</v>
      </c>
      <c r="K627" t="s">
        <v>87</v>
      </c>
      <c r="L627" t="s">
        <v>52</v>
      </c>
      <c r="M627" t="s">
        <v>43</v>
      </c>
      <c r="N627">
        <f>YEAR(Table1[[#This Row],[Date]])</f>
        <v>2020</v>
      </c>
      <c r="O627" t="str">
        <f>TEXT(Table1[[#This Row],[Date]],"mmm")</f>
        <v>Aug</v>
      </c>
      <c r="P627" t="str">
        <f>IF(Table1[[#This Row],[Total_Cost]]&lt;25,"low",IF(Table1[[#This Row],[Total_Cost]]&lt;60,"medium","high"))</f>
        <v>high</v>
      </c>
      <c r="Q627" t="str">
        <f>IF(Table1[[#This Row],[Discount_Applied]]=TRUE,"discount applied","no discount")</f>
        <v>no discount</v>
      </c>
    </row>
    <row r="628" spans="1:17" x14ac:dyDescent="0.3">
      <c r="A628">
        <v>1000000626</v>
      </c>
      <c r="B628" s="1">
        <v>44763.249641203707</v>
      </c>
      <c r="C628" t="s">
        <v>1230</v>
      </c>
      <c r="D628" t="s">
        <v>1231</v>
      </c>
      <c r="E628">
        <v>7</v>
      </c>
      <c r="F628">
        <v>61.26</v>
      </c>
      <c r="G628" t="s">
        <v>23</v>
      </c>
      <c r="H628" t="s">
        <v>16</v>
      </c>
      <c r="I628" t="s">
        <v>37</v>
      </c>
      <c r="J628" t="b">
        <v>1</v>
      </c>
      <c r="K628" t="s">
        <v>80</v>
      </c>
      <c r="L628" t="s">
        <v>52</v>
      </c>
      <c r="M628" t="s">
        <v>28</v>
      </c>
      <c r="N628">
        <f>YEAR(Table1[[#This Row],[Date]])</f>
        <v>2022</v>
      </c>
      <c r="O628" t="str">
        <f>TEXT(Table1[[#This Row],[Date]],"mmm")</f>
        <v>Jul</v>
      </c>
      <c r="P628" t="str">
        <f>IF(Table1[[#This Row],[Total_Cost]]&lt;25,"low",IF(Table1[[#This Row],[Total_Cost]]&lt;60,"medium","high"))</f>
        <v>high</v>
      </c>
      <c r="Q628" t="str">
        <f>IF(Table1[[#This Row],[Discount_Applied]]=TRUE,"discount applied","no discount")</f>
        <v>discount applied</v>
      </c>
    </row>
    <row r="629" spans="1:17" x14ac:dyDescent="0.3">
      <c r="A629">
        <v>1000000627</v>
      </c>
      <c r="B629" s="1">
        <v>43907.838263888887</v>
      </c>
      <c r="C629" t="s">
        <v>1232</v>
      </c>
      <c r="D629" t="s">
        <v>1233</v>
      </c>
      <c r="E629">
        <v>8</v>
      </c>
      <c r="F629">
        <v>31.48</v>
      </c>
      <c r="G629" t="s">
        <v>31</v>
      </c>
      <c r="H629" t="s">
        <v>129</v>
      </c>
      <c r="I629" t="s">
        <v>33</v>
      </c>
      <c r="J629" t="b">
        <v>0</v>
      </c>
      <c r="K629" t="s">
        <v>62</v>
      </c>
      <c r="L629" t="s">
        <v>38</v>
      </c>
      <c r="M629" t="s">
        <v>28</v>
      </c>
      <c r="N629">
        <f>YEAR(Table1[[#This Row],[Date]])</f>
        <v>2020</v>
      </c>
      <c r="O629" t="str">
        <f>TEXT(Table1[[#This Row],[Date]],"mmm")</f>
        <v>Mar</v>
      </c>
      <c r="P629" t="str">
        <f>IF(Table1[[#This Row],[Total_Cost]]&lt;25,"low",IF(Table1[[#This Row],[Total_Cost]]&lt;60,"medium","high"))</f>
        <v>medium</v>
      </c>
      <c r="Q629" t="str">
        <f>IF(Table1[[#This Row],[Discount_Applied]]=TRUE,"discount applied","no discount")</f>
        <v>no discount</v>
      </c>
    </row>
    <row r="630" spans="1:17" x14ac:dyDescent="0.3">
      <c r="A630">
        <v>1000000628</v>
      </c>
      <c r="B630" s="1">
        <v>44328.56858796296</v>
      </c>
      <c r="C630" t="s">
        <v>1234</v>
      </c>
      <c r="D630" t="s">
        <v>1235</v>
      </c>
      <c r="E630">
        <v>1</v>
      </c>
      <c r="F630">
        <v>33.78</v>
      </c>
      <c r="G630" t="s">
        <v>31</v>
      </c>
      <c r="H630" t="s">
        <v>70</v>
      </c>
      <c r="I630" t="s">
        <v>59</v>
      </c>
      <c r="J630" t="b">
        <v>0</v>
      </c>
      <c r="K630" t="s">
        <v>80</v>
      </c>
      <c r="L630" t="s">
        <v>38</v>
      </c>
      <c r="M630" t="s">
        <v>43</v>
      </c>
      <c r="N630">
        <f>YEAR(Table1[[#This Row],[Date]])</f>
        <v>2021</v>
      </c>
      <c r="O630" t="str">
        <f>TEXT(Table1[[#This Row],[Date]],"mmm")</f>
        <v>May</v>
      </c>
      <c r="P630" t="str">
        <f>IF(Table1[[#This Row],[Total_Cost]]&lt;25,"low",IF(Table1[[#This Row],[Total_Cost]]&lt;60,"medium","high"))</f>
        <v>medium</v>
      </c>
      <c r="Q630" t="str">
        <f>IF(Table1[[#This Row],[Discount_Applied]]=TRUE,"discount applied","no discount")</f>
        <v>no discount</v>
      </c>
    </row>
    <row r="631" spans="1:17" x14ac:dyDescent="0.3">
      <c r="A631">
        <v>1000000629</v>
      </c>
      <c r="B631" s="1">
        <v>45220.553182870368</v>
      </c>
      <c r="C631" t="s">
        <v>1236</v>
      </c>
      <c r="D631" t="s">
        <v>1237</v>
      </c>
      <c r="E631">
        <v>2</v>
      </c>
      <c r="F631">
        <v>49.98</v>
      </c>
      <c r="G631" t="s">
        <v>23</v>
      </c>
      <c r="H631" t="s">
        <v>24</v>
      </c>
      <c r="I631" t="s">
        <v>46</v>
      </c>
      <c r="J631" t="b">
        <v>1</v>
      </c>
      <c r="K631" t="s">
        <v>47</v>
      </c>
      <c r="L631" t="s">
        <v>27</v>
      </c>
      <c r="M631" t="s">
        <v>43</v>
      </c>
      <c r="N631">
        <f>YEAR(Table1[[#This Row],[Date]])</f>
        <v>2023</v>
      </c>
      <c r="O631" t="str">
        <f>TEXT(Table1[[#This Row],[Date]],"mmm")</f>
        <v>Oct</v>
      </c>
      <c r="P631" t="str">
        <f>IF(Table1[[#This Row],[Total_Cost]]&lt;25,"low",IF(Table1[[#This Row],[Total_Cost]]&lt;60,"medium","high"))</f>
        <v>medium</v>
      </c>
      <c r="Q631" t="str">
        <f>IF(Table1[[#This Row],[Discount_Applied]]=TRUE,"discount applied","no discount")</f>
        <v>discount applied</v>
      </c>
    </row>
    <row r="632" spans="1:17" x14ac:dyDescent="0.3">
      <c r="A632">
        <v>1000000630</v>
      </c>
      <c r="B632" s="1">
        <v>45326.480717592596</v>
      </c>
      <c r="C632" t="s">
        <v>1238</v>
      </c>
      <c r="D632" t="s">
        <v>1239</v>
      </c>
      <c r="E632">
        <v>4</v>
      </c>
      <c r="F632">
        <v>56.23</v>
      </c>
      <c r="G632" t="s">
        <v>23</v>
      </c>
      <c r="H632" t="s">
        <v>24</v>
      </c>
      <c r="I632" t="s">
        <v>59</v>
      </c>
      <c r="J632" t="b">
        <v>0</v>
      </c>
      <c r="K632" t="s">
        <v>18</v>
      </c>
      <c r="L632" t="s">
        <v>38</v>
      </c>
      <c r="M632" t="s">
        <v>43</v>
      </c>
      <c r="N632">
        <f>YEAR(Table1[[#This Row],[Date]])</f>
        <v>2024</v>
      </c>
      <c r="O632" t="str">
        <f>TEXT(Table1[[#This Row],[Date]],"mmm")</f>
        <v>Feb</v>
      </c>
      <c r="P632" t="str">
        <f>IF(Table1[[#This Row],[Total_Cost]]&lt;25,"low",IF(Table1[[#This Row],[Total_Cost]]&lt;60,"medium","high"))</f>
        <v>medium</v>
      </c>
      <c r="Q632" t="str">
        <f>IF(Table1[[#This Row],[Discount_Applied]]=TRUE,"discount applied","no discount")</f>
        <v>no discount</v>
      </c>
    </row>
    <row r="633" spans="1:17" x14ac:dyDescent="0.3">
      <c r="A633">
        <v>1000000631</v>
      </c>
      <c r="B633" s="1">
        <v>43942.449988425928</v>
      </c>
      <c r="C633" t="s">
        <v>1240</v>
      </c>
      <c r="D633" t="s">
        <v>1241</v>
      </c>
      <c r="E633">
        <v>5</v>
      </c>
      <c r="F633">
        <v>15.4</v>
      </c>
      <c r="G633" t="s">
        <v>15</v>
      </c>
      <c r="H633" t="s">
        <v>96</v>
      </c>
      <c r="I633" t="s">
        <v>37</v>
      </c>
      <c r="J633" t="b">
        <v>0</v>
      </c>
      <c r="K633" t="s">
        <v>42</v>
      </c>
      <c r="L633" t="s">
        <v>27</v>
      </c>
      <c r="M633" t="s">
        <v>43</v>
      </c>
      <c r="N633">
        <f>YEAR(Table1[[#This Row],[Date]])</f>
        <v>2020</v>
      </c>
      <c r="O633" t="str">
        <f>TEXT(Table1[[#This Row],[Date]],"mmm")</f>
        <v>Apr</v>
      </c>
      <c r="P633" t="str">
        <f>IF(Table1[[#This Row],[Total_Cost]]&lt;25,"low",IF(Table1[[#This Row],[Total_Cost]]&lt;60,"medium","high"))</f>
        <v>low</v>
      </c>
      <c r="Q633" t="str">
        <f>IF(Table1[[#This Row],[Discount_Applied]]=TRUE,"discount applied","no discount")</f>
        <v>no discount</v>
      </c>
    </row>
    <row r="634" spans="1:17" x14ac:dyDescent="0.3">
      <c r="A634">
        <v>1000000632</v>
      </c>
      <c r="B634" s="1">
        <v>44549.898877314816</v>
      </c>
      <c r="C634" t="s">
        <v>1242</v>
      </c>
      <c r="D634" t="s">
        <v>1243</v>
      </c>
      <c r="E634">
        <v>2</v>
      </c>
      <c r="F634">
        <v>22.6</v>
      </c>
      <c r="G634" t="s">
        <v>23</v>
      </c>
      <c r="H634" t="s">
        <v>24</v>
      </c>
      <c r="I634" t="s">
        <v>25</v>
      </c>
      <c r="J634" t="b">
        <v>1</v>
      </c>
      <c r="K634" t="s">
        <v>18</v>
      </c>
      <c r="L634" t="s">
        <v>27</v>
      </c>
      <c r="M634" t="s">
        <v>43</v>
      </c>
      <c r="N634">
        <f>YEAR(Table1[[#This Row],[Date]])</f>
        <v>2021</v>
      </c>
      <c r="O634" t="str">
        <f>TEXT(Table1[[#This Row],[Date]],"mmm")</f>
        <v>Dec</v>
      </c>
      <c r="P634" t="str">
        <f>IF(Table1[[#This Row],[Total_Cost]]&lt;25,"low",IF(Table1[[#This Row],[Total_Cost]]&lt;60,"medium","high"))</f>
        <v>low</v>
      </c>
      <c r="Q634" t="str">
        <f>IF(Table1[[#This Row],[Discount_Applied]]=TRUE,"discount applied","no discount")</f>
        <v>discount applied</v>
      </c>
    </row>
    <row r="635" spans="1:17" x14ac:dyDescent="0.3">
      <c r="A635">
        <v>1000000633</v>
      </c>
      <c r="B635" s="1">
        <v>44349.567650462966</v>
      </c>
      <c r="C635" t="s">
        <v>1244</v>
      </c>
      <c r="D635" t="s">
        <v>246</v>
      </c>
      <c r="E635">
        <v>8</v>
      </c>
      <c r="F635">
        <v>94.4</v>
      </c>
      <c r="G635" t="s">
        <v>23</v>
      </c>
      <c r="H635" t="s">
        <v>32</v>
      </c>
      <c r="I635" t="s">
        <v>59</v>
      </c>
      <c r="J635" t="b">
        <v>0</v>
      </c>
      <c r="K635" t="s">
        <v>62</v>
      </c>
      <c r="L635" t="s">
        <v>27</v>
      </c>
      <c r="M635" t="s">
        <v>43</v>
      </c>
      <c r="N635">
        <f>YEAR(Table1[[#This Row],[Date]])</f>
        <v>2021</v>
      </c>
      <c r="O635" t="str">
        <f>TEXT(Table1[[#This Row],[Date]],"mmm")</f>
        <v>Jun</v>
      </c>
      <c r="P635" t="str">
        <f>IF(Table1[[#This Row],[Total_Cost]]&lt;25,"low",IF(Table1[[#This Row],[Total_Cost]]&lt;60,"medium","high"))</f>
        <v>high</v>
      </c>
      <c r="Q635" t="str">
        <f>IF(Table1[[#This Row],[Discount_Applied]]=TRUE,"discount applied","no discount")</f>
        <v>no discount</v>
      </c>
    </row>
    <row r="636" spans="1:17" x14ac:dyDescent="0.3">
      <c r="A636">
        <v>1000000634</v>
      </c>
      <c r="B636" s="1">
        <v>44859.728715277779</v>
      </c>
      <c r="C636" t="s">
        <v>1245</v>
      </c>
      <c r="D636" t="s">
        <v>1246</v>
      </c>
      <c r="E636">
        <v>5</v>
      </c>
      <c r="F636">
        <v>11.45</v>
      </c>
      <c r="G636" t="s">
        <v>15</v>
      </c>
      <c r="H636" t="s">
        <v>70</v>
      </c>
      <c r="I636" t="s">
        <v>59</v>
      </c>
      <c r="J636" t="b">
        <v>0</v>
      </c>
      <c r="K636" t="s">
        <v>47</v>
      </c>
      <c r="L636" t="s">
        <v>38</v>
      </c>
      <c r="M636" t="s">
        <v>43</v>
      </c>
      <c r="N636">
        <f>YEAR(Table1[[#This Row],[Date]])</f>
        <v>2022</v>
      </c>
      <c r="O636" t="str">
        <f>TEXT(Table1[[#This Row],[Date]],"mmm")</f>
        <v>Oct</v>
      </c>
      <c r="P636" t="str">
        <f>IF(Table1[[#This Row],[Total_Cost]]&lt;25,"low",IF(Table1[[#This Row],[Total_Cost]]&lt;60,"medium","high"))</f>
        <v>low</v>
      </c>
      <c r="Q636" t="str">
        <f>IF(Table1[[#This Row],[Discount_Applied]]=TRUE,"discount applied","no discount")</f>
        <v>no discount</v>
      </c>
    </row>
    <row r="637" spans="1:17" x14ac:dyDescent="0.3">
      <c r="A637">
        <v>1000000635</v>
      </c>
      <c r="B637" s="1">
        <v>44939.577546296299</v>
      </c>
      <c r="C637" t="s">
        <v>1247</v>
      </c>
      <c r="D637" t="s">
        <v>1248</v>
      </c>
      <c r="E637">
        <v>5</v>
      </c>
      <c r="F637">
        <v>45.66</v>
      </c>
      <c r="G637" t="s">
        <v>15</v>
      </c>
      <c r="H637" t="s">
        <v>96</v>
      </c>
      <c r="I637" t="s">
        <v>25</v>
      </c>
      <c r="J637" t="b">
        <v>1</v>
      </c>
      <c r="K637" t="s">
        <v>26</v>
      </c>
      <c r="L637" t="s">
        <v>52</v>
      </c>
      <c r="M637" t="s">
        <v>20</v>
      </c>
      <c r="N637">
        <f>YEAR(Table1[[#This Row],[Date]])</f>
        <v>2023</v>
      </c>
      <c r="O637" t="str">
        <f>TEXT(Table1[[#This Row],[Date]],"mmm")</f>
        <v>Jan</v>
      </c>
      <c r="P637" t="str">
        <f>IF(Table1[[#This Row],[Total_Cost]]&lt;25,"low",IF(Table1[[#This Row],[Total_Cost]]&lt;60,"medium","high"))</f>
        <v>medium</v>
      </c>
      <c r="Q637" t="str">
        <f>IF(Table1[[#This Row],[Discount_Applied]]=TRUE,"discount applied","no discount")</f>
        <v>discount applied</v>
      </c>
    </row>
    <row r="638" spans="1:17" x14ac:dyDescent="0.3">
      <c r="A638">
        <v>1000000636</v>
      </c>
      <c r="B638" s="1">
        <v>44600.004305555558</v>
      </c>
      <c r="C638" t="s">
        <v>1249</v>
      </c>
      <c r="D638" t="s">
        <v>1250</v>
      </c>
      <c r="E638">
        <v>6</v>
      </c>
      <c r="F638">
        <v>82.41</v>
      </c>
      <c r="G638" t="s">
        <v>31</v>
      </c>
      <c r="H638" t="s">
        <v>32</v>
      </c>
      <c r="I638" t="s">
        <v>25</v>
      </c>
      <c r="J638" t="b">
        <v>1</v>
      </c>
      <c r="K638" t="s">
        <v>87</v>
      </c>
      <c r="L638" t="s">
        <v>38</v>
      </c>
      <c r="M638" t="s">
        <v>20</v>
      </c>
      <c r="N638">
        <f>YEAR(Table1[[#This Row],[Date]])</f>
        <v>2022</v>
      </c>
      <c r="O638" t="str">
        <f>TEXT(Table1[[#This Row],[Date]],"mmm")</f>
        <v>Feb</v>
      </c>
      <c r="P638" t="str">
        <f>IF(Table1[[#This Row],[Total_Cost]]&lt;25,"low",IF(Table1[[#This Row],[Total_Cost]]&lt;60,"medium","high"))</f>
        <v>high</v>
      </c>
      <c r="Q638" t="str">
        <f>IF(Table1[[#This Row],[Discount_Applied]]=TRUE,"discount applied","no discount")</f>
        <v>discount applied</v>
      </c>
    </row>
    <row r="639" spans="1:17" x14ac:dyDescent="0.3">
      <c r="A639">
        <v>1000000637</v>
      </c>
      <c r="B639" s="1">
        <v>44623.867592592593</v>
      </c>
      <c r="C639" t="s">
        <v>1251</v>
      </c>
      <c r="D639" t="s">
        <v>1252</v>
      </c>
      <c r="E639">
        <v>4</v>
      </c>
      <c r="F639">
        <v>53.33</v>
      </c>
      <c r="G639" t="s">
        <v>31</v>
      </c>
      <c r="H639" t="s">
        <v>24</v>
      </c>
      <c r="I639" t="s">
        <v>46</v>
      </c>
      <c r="J639" t="b">
        <v>1</v>
      </c>
      <c r="K639" t="s">
        <v>42</v>
      </c>
      <c r="L639" t="s">
        <v>38</v>
      </c>
      <c r="M639" t="s">
        <v>43</v>
      </c>
      <c r="N639">
        <f>YEAR(Table1[[#This Row],[Date]])</f>
        <v>2022</v>
      </c>
      <c r="O639" t="str">
        <f>TEXT(Table1[[#This Row],[Date]],"mmm")</f>
        <v>Mar</v>
      </c>
      <c r="P639" t="str">
        <f>IF(Table1[[#This Row],[Total_Cost]]&lt;25,"low",IF(Table1[[#This Row],[Total_Cost]]&lt;60,"medium","high"))</f>
        <v>medium</v>
      </c>
      <c r="Q639" t="str">
        <f>IF(Table1[[#This Row],[Discount_Applied]]=TRUE,"discount applied","no discount")</f>
        <v>discount applied</v>
      </c>
    </row>
    <row r="640" spans="1:17" x14ac:dyDescent="0.3">
      <c r="A640">
        <v>1000000638</v>
      </c>
      <c r="B640" s="1">
        <v>44806.05846064815</v>
      </c>
      <c r="C640" t="s">
        <v>1253</v>
      </c>
      <c r="D640" t="s">
        <v>1254</v>
      </c>
      <c r="E640">
        <v>4</v>
      </c>
      <c r="F640">
        <v>82.22</v>
      </c>
      <c r="G640" t="s">
        <v>15</v>
      </c>
      <c r="H640" t="s">
        <v>24</v>
      </c>
      <c r="I640" t="s">
        <v>33</v>
      </c>
      <c r="J640" t="b">
        <v>0</v>
      </c>
      <c r="K640" t="s">
        <v>87</v>
      </c>
      <c r="L640" t="s">
        <v>27</v>
      </c>
      <c r="M640" t="s">
        <v>28</v>
      </c>
      <c r="N640">
        <f>YEAR(Table1[[#This Row],[Date]])</f>
        <v>2022</v>
      </c>
      <c r="O640" t="str">
        <f>TEXT(Table1[[#This Row],[Date]],"mmm")</f>
        <v>Sep</v>
      </c>
      <c r="P640" t="str">
        <f>IF(Table1[[#This Row],[Total_Cost]]&lt;25,"low",IF(Table1[[#This Row],[Total_Cost]]&lt;60,"medium","high"))</f>
        <v>high</v>
      </c>
      <c r="Q640" t="str">
        <f>IF(Table1[[#This Row],[Discount_Applied]]=TRUE,"discount applied","no discount")</f>
        <v>no discount</v>
      </c>
    </row>
    <row r="641" spans="1:17" x14ac:dyDescent="0.3">
      <c r="A641">
        <v>1000000639</v>
      </c>
      <c r="B641" s="1">
        <v>43855.936400462961</v>
      </c>
      <c r="C641" t="s">
        <v>1255</v>
      </c>
      <c r="D641" t="s">
        <v>1256</v>
      </c>
      <c r="E641">
        <v>2</v>
      </c>
      <c r="F641">
        <v>48.63</v>
      </c>
      <c r="G641" t="s">
        <v>31</v>
      </c>
      <c r="H641" t="s">
        <v>70</v>
      </c>
      <c r="I641" t="s">
        <v>25</v>
      </c>
      <c r="J641" t="b">
        <v>1</v>
      </c>
      <c r="K641" t="s">
        <v>87</v>
      </c>
      <c r="L641" t="s">
        <v>52</v>
      </c>
      <c r="M641" t="s">
        <v>20</v>
      </c>
      <c r="N641">
        <f>YEAR(Table1[[#This Row],[Date]])</f>
        <v>2020</v>
      </c>
      <c r="O641" t="str">
        <f>TEXT(Table1[[#This Row],[Date]],"mmm")</f>
        <v>Jan</v>
      </c>
      <c r="P641" t="str">
        <f>IF(Table1[[#This Row],[Total_Cost]]&lt;25,"low",IF(Table1[[#This Row],[Total_Cost]]&lt;60,"medium","high"))</f>
        <v>medium</v>
      </c>
      <c r="Q641" t="str">
        <f>IF(Table1[[#This Row],[Discount_Applied]]=TRUE,"discount applied","no discount")</f>
        <v>discount applied</v>
      </c>
    </row>
    <row r="642" spans="1:17" x14ac:dyDescent="0.3">
      <c r="A642">
        <v>1000000640</v>
      </c>
      <c r="B642" s="1">
        <v>44073.34165509259</v>
      </c>
      <c r="C642" t="s">
        <v>1257</v>
      </c>
      <c r="D642" t="s">
        <v>1258</v>
      </c>
      <c r="E642">
        <v>5</v>
      </c>
      <c r="F642">
        <v>48.12</v>
      </c>
      <c r="G642" t="s">
        <v>41</v>
      </c>
      <c r="H642" t="s">
        <v>24</v>
      </c>
      <c r="I642" t="s">
        <v>46</v>
      </c>
      <c r="J642" t="b">
        <v>0</v>
      </c>
      <c r="K642" t="s">
        <v>62</v>
      </c>
      <c r="L642" t="s">
        <v>19</v>
      </c>
      <c r="M642" t="s">
        <v>20</v>
      </c>
      <c r="N642">
        <f>YEAR(Table1[[#This Row],[Date]])</f>
        <v>2020</v>
      </c>
      <c r="O642" t="str">
        <f>TEXT(Table1[[#This Row],[Date]],"mmm")</f>
        <v>Aug</v>
      </c>
      <c r="P642" t="str">
        <f>IF(Table1[[#This Row],[Total_Cost]]&lt;25,"low",IF(Table1[[#This Row],[Total_Cost]]&lt;60,"medium","high"))</f>
        <v>medium</v>
      </c>
      <c r="Q642" t="str">
        <f>IF(Table1[[#This Row],[Discount_Applied]]=TRUE,"discount applied","no discount")</f>
        <v>no discount</v>
      </c>
    </row>
    <row r="643" spans="1:17" x14ac:dyDescent="0.3">
      <c r="A643">
        <v>1000000641</v>
      </c>
      <c r="B643" s="1">
        <v>43876.138391203705</v>
      </c>
      <c r="C643" t="s">
        <v>1259</v>
      </c>
      <c r="D643" t="s">
        <v>484</v>
      </c>
      <c r="E643">
        <v>6</v>
      </c>
      <c r="F643">
        <v>82.12</v>
      </c>
      <c r="G643" t="s">
        <v>41</v>
      </c>
      <c r="H643" t="s">
        <v>77</v>
      </c>
      <c r="I643" t="s">
        <v>46</v>
      </c>
      <c r="J643" t="b">
        <v>1</v>
      </c>
      <c r="K643" t="s">
        <v>62</v>
      </c>
      <c r="L643" t="s">
        <v>19</v>
      </c>
      <c r="M643" t="s">
        <v>20</v>
      </c>
      <c r="N643">
        <f>YEAR(Table1[[#This Row],[Date]])</f>
        <v>2020</v>
      </c>
      <c r="O643" t="str">
        <f>TEXT(Table1[[#This Row],[Date]],"mmm")</f>
        <v>Feb</v>
      </c>
      <c r="P643" t="str">
        <f>IF(Table1[[#This Row],[Total_Cost]]&lt;25,"low",IF(Table1[[#This Row],[Total_Cost]]&lt;60,"medium","high"))</f>
        <v>high</v>
      </c>
      <c r="Q643" t="str">
        <f>IF(Table1[[#This Row],[Discount_Applied]]=TRUE,"discount applied","no discount")</f>
        <v>discount applied</v>
      </c>
    </row>
    <row r="644" spans="1:17" x14ac:dyDescent="0.3">
      <c r="A644">
        <v>1000000642</v>
      </c>
      <c r="B644" s="1">
        <v>43999.538472222222</v>
      </c>
      <c r="C644" t="s">
        <v>1260</v>
      </c>
      <c r="D644" t="s">
        <v>487</v>
      </c>
      <c r="E644">
        <v>7</v>
      </c>
      <c r="F644">
        <v>94.76</v>
      </c>
      <c r="G644" t="s">
        <v>31</v>
      </c>
      <c r="H644" t="s">
        <v>32</v>
      </c>
      <c r="I644" t="s">
        <v>17</v>
      </c>
      <c r="J644" t="b">
        <v>0</v>
      </c>
      <c r="K644" t="s">
        <v>26</v>
      </c>
      <c r="L644" t="s">
        <v>27</v>
      </c>
      <c r="M644" t="s">
        <v>28</v>
      </c>
      <c r="N644">
        <f>YEAR(Table1[[#This Row],[Date]])</f>
        <v>2020</v>
      </c>
      <c r="O644" t="str">
        <f>TEXT(Table1[[#This Row],[Date]],"mmm")</f>
        <v>Jun</v>
      </c>
      <c r="P644" t="str">
        <f>IF(Table1[[#This Row],[Total_Cost]]&lt;25,"low",IF(Table1[[#This Row],[Total_Cost]]&lt;60,"medium","high"))</f>
        <v>high</v>
      </c>
      <c r="Q644" t="str">
        <f>IF(Table1[[#This Row],[Discount_Applied]]=TRUE,"discount applied","no discount")</f>
        <v>no discount</v>
      </c>
    </row>
    <row r="645" spans="1:17" x14ac:dyDescent="0.3">
      <c r="A645">
        <v>1000000643</v>
      </c>
      <c r="B645" s="1">
        <v>44579.791828703703</v>
      </c>
      <c r="C645" t="s">
        <v>1261</v>
      </c>
      <c r="D645" t="s">
        <v>1262</v>
      </c>
      <c r="E645">
        <v>6</v>
      </c>
      <c r="F645">
        <v>39.86</v>
      </c>
      <c r="G645" t="s">
        <v>41</v>
      </c>
      <c r="H645" t="s">
        <v>65</v>
      </c>
      <c r="I645" t="s">
        <v>37</v>
      </c>
      <c r="J645" t="b">
        <v>0</v>
      </c>
      <c r="K645" t="s">
        <v>26</v>
      </c>
      <c r="L645" t="s">
        <v>38</v>
      </c>
      <c r="M645" t="s">
        <v>28</v>
      </c>
      <c r="N645">
        <f>YEAR(Table1[[#This Row],[Date]])</f>
        <v>2022</v>
      </c>
      <c r="O645" t="str">
        <f>TEXT(Table1[[#This Row],[Date]],"mmm")</f>
        <v>Jan</v>
      </c>
      <c r="P645" t="str">
        <f>IF(Table1[[#This Row],[Total_Cost]]&lt;25,"low",IF(Table1[[#This Row],[Total_Cost]]&lt;60,"medium","high"))</f>
        <v>medium</v>
      </c>
      <c r="Q645" t="str">
        <f>IF(Table1[[#This Row],[Discount_Applied]]=TRUE,"discount applied","no discount")</f>
        <v>no discount</v>
      </c>
    </row>
    <row r="646" spans="1:17" x14ac:dyDescent="0.3">
      <c r="A646">
        <v>1000000644</v>
      </c>
      <c r="B646" s="1">
        <v>44225.703240740739</v>
      </c>
      <c r="C646" t="s">
        <v>1263</v>
      </c>
      <c r="D646" t="s">
        <v>1264</v>
      </c>
      <c r="E646">
        <v>9</v>
      </c>
      <c r="F646">
        <v>30.02</v>
      </c>
      <c r="G646" t="s">
        <v>23</v>
      </c>
      <c r="H646" t="s">
        <v>96</v>
      </c>
      <c r="I646" t="s">
        <v>59</v>
      </c>
      <c r="J646" t="b">
        <v>1</v>
      </c>
      <c r="K646" t="s">
        <v>62</v>
      </c>
      <c r="L646" t="s">
        <v>52</v>
      </c>
      <c r="M646" t="s">
        <v>43</v>
      </c>
      <c r="N646">
        <f>YEAR(Table1[[#This Row],[Date]])</f>
        <v>2021</v>
      </c>
      <c r="O646" t="str">
        <f>TEXT(Table1[[#This Row],[Date]],"mmm")</f>
        <v>Jan</v>
      </c>
      <c r="P646" t="str">
        <f>IF(Table1[[#This Row],[Total_Cost]]&lt;25,"low",IF(Table1[[#This Row],[Total_Cost]]&lt;60,"medium","high"))</f>
        <v>medium</v>
      </c>
      <c r="Q646" t="str">
        <f>IF(Table1[[#This Row],[Discount_Applied]]=TRUE,"discount applied","no discount")</f>
        <v>discount applied</v>
      </c>
    </row>
    <row r="647" spans="1:17" x14ac:dyDescent="0.3">
      <c r="A647">
        <v>1000000645</v>
      </c>
      <c r="B647" s="1">
        <v>44052.610011574077</v>
      </c>
      <c r="C647" t="s">
        <v>1265</v>
      </c>
      <c r="D647" t="s">
        <v>1266</v>
      </c>
      <c r="E647">
        <v>10</v>
      </c>
      <c r="F647">
        <v>75.7</v>
      </c>
      <c r="G647" t="s">
        <v>15</v>
      </c>
      <c r="H647" t="s">
        <v>129</v>
      </c>
      <c r="I647" t="s">
        <v>37</v>
      </c>
      <c r="J647" t="b">
        <v>0</v>
      </c>
      <c r="K647" t="s">
        <v>42</v>
      </c>
      <c r="L647" t="s">
        <v>38</v>
      </c>
      <c r="M647" t="s">
        <v>20</v>
      </c>
      <c r="N647">
        <f>YEAR(Table1[[#This Row],[Date]])</f>
        <v>2020</v>
      </c>
      <c r="O647" t="str">
        <f>TEXT(Table1[[#This Row],[Date]],"mmm")</f>
        <v>Aug</v>
      </c>
      <c r="P647" t="str">
        <f>IF(Table1[[#This Row],[Total_Cost]]&lt;25,"low",IF(Table1[[#This Row],[Total_Cost]]&lt;60,"medium","high"))</f>
        <v>high</v>
      </c>
      <c r="Q647" t="str">
        <f>IF(Table1[[#This Row],[Discount_Applied]]=TRUE,"discount applied","no discount")</f>
        <v>no discount</v>
      </c>
    </row>
    <row r="648" spans="1:17" x14ac:dyDescent="0.3">
      <c r="A648">
        <v>1000000646</v>
      </c>
      <c r="B648" s="1">
        <v>44367.200555555559</v>
      </c>
      <c r="C648" t="s">
        <v>1267</v>
      </c>
      <c r="D648" t="s">
        <v>1268</v>
      </c>
      <c r="E648">
        <v>2</v>
      </c>
      <c r="F648">
        <v>56.86</v>
      </c>
      <c r="G648" t="s">
        <v>41</v>
      </c>
      <c r="H648" t="s">
        <v>36</v>
      </c>
      <c r="I648" t="s">
        <v>37</v>
      </c>
      <c r="J648" t="b">
        <v>1</v>
      </c>
      <c r="K648" t="s">
        <v>80</v>
      </c>
      <c r="L648" t="s">
        <v>19</v>
      </c>
      <c r="M648" t="s">
        <v>43</v>
      </c>
      <c r="N648">
        <f>YEAR(Table1[[#This Row],[Date]])</f>
        <v>2021</v>
      </c>
      <c r="O648" t="str">
        <f>TEXT(Table1[[#This Row],[Date]],"mmm")</f>
        <v>Jun</v>
      </c>
      <c r="P648" t="str">
        <f>IF(Table1[[#This Row],[Total_Cost]]&lt;25,"low",IF(Table1[[#This Row],[Total_Cost]]&lt;60,"medium","high"))</f>
        <v>medium</v>
      </c>
      <c r="Q648" t="str">
        <f>IF(Table1[[#This Row],[Discount_Applied]]=TRUE,"discount applied","no discount")</f>
        <v>discount applied</v>
      </c>
    </row>
    <row r="649" spans="1:17" x14ac:dyDescent="0.3">
      <c r="A649">
        <v>1000000647</v>
      </c>
      <c r="B649" s="1">
        <v>44154.320613425924</v>
      </c>
      <c r="C649" t="s">
        <v>1269</v>
      </c>
      <c r="D649" t="s">
        <v>1270</v>
      </c>
      <c r="E649">
        <v>7</v>
      </c>
      <c r="F649">
        <v>23.36</v>
      </c>
      <c r="G649" t="s">
        <v>41</v>
      </c>
      <c r="H649" t="s">
        <v>50</v>
      </c>
      <c r="I649" t="s">
        <v>25</v>
      </c>
      <c r="J649" t="b">
        <v>0</v>
      </c>
      <c r="K649" t="s">
        <v>18</v>
      </c>
      <c r="L649" t="s">
        <v>38</v>
      </c>
      <c r="M649" t="s">
        <v>20</v>
      </c>
      <c r="N649">
        <f>YEAR(Table1[[#This Row],[Date]])</f>
        <v>2020</v>
      </c>
      <c r="O649" t="str">
        <f>TEXT(Table1[[#This Row],[Date]],"mmm")</f>
        <v>Nov</v>
      </c>
      <c r="P649" t="str">
        <f>IF(Table1[[#This Row],[Total_Cost]]&lt;25,"low",IF(Table1[[#This Row],[Total_Cost]]&lt;60,"medium","high"))</f>
        <v>low</v>
      </c>
      <c r="Q649" t="str">
        <f>IF(Table1[[#This Row],[Discount_Applied]]=TRUE,"discount applied","no discount")</f>
        <v>no discount</v>
      </c>
    </row>
    <row r="650" spans="1:17" x14ac:dyDescent="0.3">
      <c r="A650">
        <v>1000000648</v>
      </c>
      <c r="B650" s="1">
        <v>44308.392604166664</v>
      </c>
      <c r="C650" t="s">
        <v>1271</v>
      </c>
      <c r="D650" t="s">
        <v>1272</v>
      </c>
      <c r="E650">
        <v>6</v>
      </c>
      <c r="F650">
        <v>40.49</v>
      </c>
      <c r="G650" t="s">
        <v>15</v>
      </c>
      <c r="H650" t="s">
        <v>96</v>
      </c>
      <c r="I650" t="s">
        <v>59</v>
      </c>
      <c r="J650" t="b">
        <v>1</v>
      </c>
      <c r="K650" t="s">
        <v>42</v>
      </c>
      <c r="L650" t="s">
        <v>27</v>
      </c>
      <c r="M650" t="s">
        <v>43</v>
      </c>
      <c r="N650">
        <f>YEAR(Table1[[#This Row],[Date]])</f>
        <v>2021</v>
      </c>
      <c r="O650" t="str">
        <f>TEXT(Table1[[#This Row],[Date]],"mmm")</f>
        <v>Apr</v>
      </c>
      <c r="P650" t="str">
        <f>IF(Table1[[#This Row],[Total_Cost]]&lt;25,"low",IF(Table1[[#This Row],[Total_Cost]]&lt;60,"medium","high"))</f>
        <v>medium</v>
      </c>
      <c r="Q650" t="str">
        <f>IF(Table1[[#This Row],[Discount_Applied]]=TRUE,"discount applied","no discount")</f>
        <v>discount applied</v>
      </c>
    </row>
    <row r="651" spans="1:17" x14ac:dyDescent="0.3">
      <c r="A651">
        <v>1000000649</v>
      </c>
      <c r="B651" s="1">
        <v>45177.800520833334</v>
      </c>
      <c r="C651" t="s">
        <v>1273</v>
      </c>
      <c r="D651" t="s">
        <v>1274</v>
      </c>
      <c r="E651">
        <v>1</v>
      </c>
      <c r="F651">
        <v>67.08</v>
      </c>
      <c r="G651" t="s">
        <v>31</v>
      </c>
      <c r="H651" t="s">
        <v>36</v>
      </c>
      <c r="I651" t="s">
        <v>37</v>
      </c>
      <c r="J651" t="b">
        <v>0</v>
      </c>
      <c r="K651" t="s">
        <v>87</v>
      </c>
      <c r="L651" t="s">
        <v>19</v>
      </c>
      <c r="M651" t="s">
        <v>28</v>
      </c>
      <c r="N651">
        <f>YEAR(Table1[[#This Row],[Date]])</f>
        <v>2023</v>
      </c>
      <c r="O651" t="str">
        <f>TEXT(Table1[[#This Row],[Date]],"mmm")</f>
        <v>Sep</v>
      </c>
      <c r="P651" t="str">
        <f>IF(Table1[[#This Row],[Total_Cost]]&lt;25,"low",IF(Table1[[#This Row],[Total_Cost]]&lt;60,"medium","high"))</f>
        <v>high</v>
      </c>
      <c r="Q651" t="str">
        <f>IF(Table1[[#This Row],[Discount_Applied]]=TRUE,"discount applied","no discount")</f>
        <v>no discount</v>
      </c>
    </row>
    <row r="652" spans="1:17" x14ac:dyDescent="0.3">
      <c r="A652">
        <v>1000000650</v>
      </c>
      <c r="B652" s="1">
        <v>44511.120335648149</v>
      </c>
      <c r="C652" t="s">
        <v>1275</v>
      </c>
      <c r="D652" t="s">
        <v>1276</v>
      </c>
      <c r="E652">
        <v>4</v>
      </c>
      <c r="F652">
        <v>56.5</v>
      </c>
      <c r="G652" t="s">
        <v>23</v>
      </c>
      <c r="H652" t="s">
        <v>50</v>
      </c>
      <c r="I652" t="s">
        <v>46</v>
      </c>
      <c r="J652" t="b">
        <v>0</v>
      </c>
      <c r="K652" t="s">
        <v>26</v>
      </c>
      <c r="L652" t="s">
        <v>27</v>
      </c>
      <c r="M652" t="s">
        <v>20</v>
      </c>
      <c r="N652">
        <f>YEAR(Table1[[#This Row],[Date]])</f>
        <v>2021</v>
      </c>
      <c r="O652" t="str">
        <f>TEXT(Table1[[#This Row],[Date]],"mmm")</f>
        <v>Nov</v>
      </c>
      <c r="P652" t="str">
        <f>IF(Table1[[#This Row],[Total_Cost]]&lt;25,"low",IF(Table1[[#This Row],[Total_Cost]]&lt;60,"medium","high"))</f>
        <v>medium</v>
      </c>
      <c r="Q652" t="str">
        <f>IF(Table1[[#This Row],[Discount_Applied]]=TRUE,"discount applied","no discount")</f>
        <v>no discount</v>
      </c>
    </row>
    <row r="653" spans="1:17" x14ac:dyDescent="0.3">
      <c r="A653">
        <v>1000000651</v>
      </c>
      <c r="B653" s="1">
        <v>43851.794409722221</v>
      </c>
      <c r="C653" t="s">
        <v>1277</v>
      </c>
      <c r="D653" t="s">
        <v>1278</v>
      </c>
      <c r="E653">
        <v>6</v>
      </c>
      <c r="F653">
        <v>93.85</v>
      </c>
      <c r="G653" t="s">
        <v>23</v>
      </c>
      <c r="H653" t="s">
        <v>36</v>
      </c>
      <c r="I653" t="s">
        <v>59</v>
      </c>
      <c r="J653" t="b">
        <v>1</v>
      </c>
      <c r="K653" t="s">
        <v>87</v>
      </c>
      <c r="L653" t="s">
        <v>52</v>
      </c>
      <c r="M653" t="s">
        <v>28</v>
      </c>
      <c r="N653">
        <f>YEAR(Table1[[#This Row],[Date]])</f>
        <v>2020</v>
      </c>
      <c r="O653" t="str">
        <f>TEXT(Table1[[#This Row],[Date]],"mmm")</f>
        <v>Jan</v>
      </c>
      <c r="P653" t="str">
        <f>IF(Table1[[#This Row],[Total_Cost]]&lt;25,"low",IF(Table1[[#This Row],[Total_Cost]]&lt;60,"medium","high"))</f>
        <v>high</v>
      </c>
      <c r="Q653" t="str">
        <f>IF(Table1[[#This Row],[Discount_Applied]]=TRUE,"discount applied","no discount")</f>
        <v>discount applied</v>
      </c>
    </row>
    <row r="654" spans="1:17" x14ac:dyDescent="0.3">
      <c r="A654">
        <v>1000000652</v>
      </c>
      <c r="B654" s="1">
        <v>44994.997094907405</v>
      </c>
      <c r="C654" t="s">
        <v>1279</v>
      </c>
      <c r="D654" t="s">
        <v>1280</v>
      </c>
      <c r="E654">
        <v>6</v>
      </c>
      <c r="F654">
        <v>58.27</v>
      </c>
      <c r="G654" t="s">
        <v>41</v>
      </c>
      <c r="H654" t="s">
        <v>70</v>
      </c>
      <c r="I654" t="s">
        <v>46</v>
      </c>
      <c r="J654" t="b">
        <v>0</v>
      </c>
      <c r="K654" t="s">
        <v>18</v>
      </c>
      <c r="L654" t="s">
        <v>38</v>
      </c>
      <c r="M654" t="s">
        <v>43</v>
      </c>
      <c r="N654">
        <f>YEAR(Table1[[#This Row],[Date]])</f>
        <v>2023</v>
      </c>
      <c r="O654" t="str">
        <f>TEXT(Table1[[#This Row],[Date]],"mmm")</f>
        <v>Mar</v>
      </c>
      <c r="P654" t="str">
        <f>IF(Table1[[#This Row],[Total_Cost]]&lt;25,"low",IF(Table1[[#This Row],[Total_Cost]]&lt;60,"medium","high"))</f>
        <v>medium</v>
      </c>
      <c r="Q654" t="str">
        <f>IF(Table1[[#This Row],[Discount_Applied]]=TRUE,"discount applied","no discount")</f>
        <v>no discount</v>
      </c>
    </row>
    <row r="655" spans="1:17" x14ac:dyDescent="0.3">
      <c r="A655">
        <v>1000000653</v>
      </c>
      <c r="B655" s="1">
        <v>45297.773877314816</v>
      </c>
      <c r="C655" t="s">
        <v>1281</v>
      </c>
      <c r="D655" t="s">
        <v>1282</v>
      </c>
      <c r="E655">
        <v>4</v>
      </c>
      <c r="F655">
        <v>5.74</v>
      </c>
      <c r="G655" t="s">
        <v>15</v>
      </c>
      <c r="H655" t="s">
        <v>16</v>
      </c>
      <c r="I655" t="s">
        <v>33</v>
      </c>
      <c r="J655" t="b">
        <v>1</v>
      </c>
      <c r="K655" t="s">
        <v>42</v>
      </c>
      <c r="L655" t="s">
        <v>38</v>
      </c>
      <c r="M655" t="s">
        <v>20</v>
      </c>
      <c r="N655">
        <f>YEAR(Table1[[#This Row],[Date]])</f>
        <v>2024</v>
      </c>
      <c r="O655" t="str">
        <f>TEXT(Table1[[#This Row],[Date]],"mmm")</f>
        <v>Jan</v>
      </c>
      <c r="P655" t="str">
        <f>IF(Table1[[#This Row],[Total_Cost]]&lt;25,"low",IF(Table1[[#This Row],[Total_Cost]]&lt;60,"medium","high"))</f>
        <v>low</v>
      </c>
      <c r="Q655" t="str">
        <f>IF(Table1[[#This Row],[Discount_Applied]]=TRUE,"discount applied","no discount")</f>
        <v>discount applied</v>
      </c>
    </row>
    <row r="656" spans="1:17" x14ac:dyDescent="0.3">
      <c r="A656">
        <v>1000000654</v>
      </c>
      <c r="B656" s="1">
        <v>44896.880902777775</v>
      </c>
      <c r="C656" t="s">
        <v>1283</v>
      </c>
      <c r="D656" t="s">
        <v>1284</v>
      </c>
      <c r="E656">
        <v>3</v>
      </c>
      <c r="F656">
        <v>50.34</v>
      </c>
      <c r="G656" t="s">
        <v>31</v>
      </c>
      <c r="H656" t="s">
        <v>50</v>
      </c>
      <c r="I656" t="s">
        <v>59</v>
      </c>
      <c r="J656" t="b">
        <v>0</v>
      </c>
      <c r="K656" t="s">
        <v>18</v>
      </c>
      <c r="L656" t="s">
        <v>52</v>
      </c>
      <c r="M656" t="s">
        <v>20</v>
      </c>
      <c r="N656">
        <f>YEAR(Table1[[#This Row],[Date]])</f>
        <v>2022</v>
      </c>
      <c r="O656" t="str">
        <f>TEXT(Table1[[#This Row],[Date]],"mmm")</f>
        <v>Dec</v>
      </c>
      <c r="P656" t="str">
        <f>IF(Table1[[#This Row],[Total_Cost]]&lt;25,"low",IF(Table1[[#This Row],[Total_Cost]]&lt;60,"medium","high"))</f>
        <v>medium</v>
      </c>
      <c r="Q656" t="str">
        <f>IF(Table1[[#This Row],[Discount_Applied]]=TRUE,"discount applied","no discount")</f>
        <v>no discount</v>
      </c>
    </row>
    <row r="657" spans="1:17" x14ac:dyDescent="0.3">
      <c r="A657">
        <v>1000000655</v>
      </c>
      <c r="B657" s="1">
        <v>44615.483275462961</v>
      </c>
      <c r="C657" t="s">
        <v>1285</v>
      </c>
      <c r="D657" t="s">
        <v>1286</v>
      </c>
      <c r="E657">
        <v>10</v>
      </c>
      <c r="F657">
        <v>9.31</v>
      </c>
      <c r="G657" t="s">
        <v>15</v>
      </c>
      <c r="H657" t="s">
        <v>36</v>
      </c>
      <c r="I657" t="s">
        <v>46</v>
      </c>
      <c r="J657" t="b">
        <v>1</v>
      </c>
      <c r="K657" t="s">
        <v>80</v>
      </c>
      <c r="L657" t="s">
        <v>52</v>
      </c>
      <c r="M657" t="s">
        <v>20</v>
      </c>
      <c r="N657">
        <f>YEAR(Table1[[#This Row],[Date]])</f>
        <v>2022</v>
      </c>
      <c r="O657" t="str">
        <f>TEXT(Table1[[#This Row],[Date]],"mmm")</f>
        <v>Feb</v>
      </c>
      <c r="P657" t="str">
        <f>IF(Table1[[#This Row],[Total_Cost]]&lt;25,"low",IF(Table1[[#This Row],[Total_Cost]]&lt;60,"medium","high"))</f>
        <v>low</v>
      </c>
      <c r="Q657" t="str">
        <f>IF(Table1[[#This Row],[Discount_Applied]]=TRUE,"discount applied","no discount")</f>
        <v>discount applied</v>
      </c>
    </row>
    <row r="658" spans="1:17" x14ac:dyDescent="0.3">
      <c r="A658">
        <v>1000000656</v>
      </c>
      <c r="B658" s="1">
        <v>44659.566990740743</v>
      </c>
      <c r="C658" t="s">
        <v>1287</v>
      </c>
      <c r="D658" t="s">
        <v>656</v>
      </c>
      <c r="E658">
        <v>8</v>
      </c>
      <c r="F658">
        <v>48.52</v>
      </c>
      <c r="G658" t="s">
        <v>31</v>
      </c>
      <c r="H658" t="s">
        <v>129</v>
      </c>
      <c r="I658" t="s">
        <v>33</v>
      </c>
      <c r="J658" t="b">
        <v>0</v>
      </c>
      <c r="K658" t="s">
        <v>47</v>
      </c>
      <c r="L658" t="s">
        <v>19</v>
      </c>
      <c r="M658" t="s">
        <v>43</v>
      </c>
      <c r="N658">
        <f>YEAR(Table1[[#This Row],[Date]])</f>
        <v>2022</v>
      </c>
      <c r="O658" t="str">
        <f>TEXT(Table1[[#This Row],[Date]],"mmm")</f>
        <v>Apr</v>
      </c>
      <c r="P658" t="str">
        <f>IF(Table1[[#This Row],[Total_Cost]]&lt;25,"low",IF(Table1[[#This Row],[Total_Cost]]&lt;60,"medium","high"))</f>
        <v>medium</v>
      </c>
      <c r="Q658" t="str">
        <f>IF(Table1[[#This Row],[Discount_Applied]]=TRUE,"discount applied","no discount")</f>
        <v>no discount</v>
      </c>
    </row>
    <row r="659" spans="1:17" x14ac:dyDescent="0.3">
      <c r="A659">
        <v>1000000657</v>
      </c>
      <c r="B659" s="1">
        <v>45001.455104166664</v>
      </c>
      <c r="C659" t="s">
        <v>1288</v>
      </c>
      <c r="D659" t="s">
        <v>1289</v>
      </c>
      <c r="E659">
        <v>5</v>
      </c>
      <c r="F659">
        <v>96.69</v>
      </c>
      <c r="G659" t="s">
        <v>15</v>
      </c>
      <c r="H659" t="s">
        <v>96</v>
      </c>
      <c r="I659" t="s">
        <v>17</v>
      </c>
      <c r="J659" t="b">
        <v>1</v>
      </c>
      <c r="K659" t="s">
        <v>87</v>
      </c>
      <c r="L659" t="s">
        <v>38</v>
      </c>
      <c r="M659" t="s">
        <v>20</v>
      </c>
      <c r="N659">
        <f>YEAR(Table1[[#This Row],[Date]])</f>
        <v>2023</v>
      </c>
      <c r="O659" t="str">
        <f>TEXT(Table1[[#This Row],[Date]],"mmm")</f>
        <v>Mar</v>
      </c>
      <c r="P659" t="str">
        <f>IF(Table1[[#This Row],[Total_Cost]]&lt;25,"low",IF(Table1[[#This Row],[Total_Cost]]&lt;60,"medium","high"))</f>
        <v>high</v>
      </c>
      <c r="Q659" t="str">
        <f>IF(Table1[[#This Row],[Discount_Applied]]=TRUE,"discount applied","no discount")</f>
        <v>discount applied</v>
      </c>
    </row>
    <row r="660" spans="1:17" x14ac:dyDescent="0.3">
      <c r="A660">
        <v>1000000658</v>
      </c>
      <c r="B660" s="1">
        <v>44451.823368055557</v>
      </c>
      <c r="C660" t="s">
        <v>1290</v>
      </c>
      <c r="D660" t="s">
        <v>703</v>
      </c>
      <c r="E660">
        <v>10</v>
      </c>
      <c r="F660">
        <v>53.44</v>
      </c>
      <c r="G660" t="s">
        <v>23</v>
      </c>
      <c r="H660" t="s">
        <v>65</v>
      </c>
      <c r="I660" t="s">
        <v>46</v>
      </c>
      <c r="J660" t="b">
        <v>1</v>
      </c>
      <c r="K660" t="s">
        <v>51</v>
      </c>
      <c r="L660" t="s">
        <v>38</v>
      </c>
      <c r="M660" t="s">
        <v>28</v>
      </c>
      <c r="N660">
        <f>YEAR(Table1[[#This Row],[Date]])</f>
        <v>2021</v>
      </c>
      <c r="O660" t="str">
        <f>TEXT(Table1[[#This Row],[Date]],"mmm")</f>
        <v>Sep</v>
      </c>
      <c r="P660" t="str">
        <f>IF(Table1[[#This Row],[Total_Cost]]&lt;25,"low",IF(Table1[[#This Row],[Total_Cost]]&lt;60,"medium","high"))</f>
        <v>medium</v>
      </c>
      <c r="Q660" t="str">
        <f>IF(Table1[[#This Row],[Discount_Applied]]=TRUE,"discount applied","no discount")</f>
        <v>discount applied</v>
      </c>
    </row>
    <row r="661" spans="1:17" x14ac:dyDescent="0.3">
      <c r="A661">
        <v>1000000659</v>
      </c>
      <c r="B661" s="1">
        <v>44240.984826388885</v>
      </c>
      <c r="C661" t="s">
        <v>1291</v>
      </c>
      <c r="D661" t="s">
        <v>1292</v>
      </c>
      <c r="E661">
        <v>3</v>
      </c>
      <c r="F661">
        <v>53.19</v>
      </c>
      <c r="G661" t="s">
        <v>41</v>
      </c>
      <c r="H661" t="s">
        <v>129</v>
      </c>
      <c r="I661" t="s">
        <v>59</v>
      </c>
      <c r="J661" t="b">
        <v>0</v>
      </c>
      <c r="K661" t="s">
        <v>51</v>
      </c>
      <c r="L661" t="s">
        <v>27</v>
      </c>
      <c r="M661" t="s">
        <v>20</v>
      </c>
      <c r="N661">
        <f>YEAR(Table1[[#This Row],[Date]])</f>
        <v>2021</v>
      </c>
      <c r="O661" t="str">
        <f>TEXT(Table1[[#This Row],[Date]],"mmm")</f>
        <v>Feb</v>
      </c>
      <c r="P661" t="str">
        <f>IF(Table1[[#This Row],[Total_Cost]]&lt;25,"low",IF(Table1[[#This Row],[Total_Cost]]&lt;60,"medium","high"))</f>
        <v>medium</v>
      </c>
      <c r="Q661" t="str">
        <f>IF(Table1[[#This Row],[Discount_Applied]]=TRUE,"discount applied","no discount")</f>
        <v>no discount</v>
      </c>
    </row>
    <row r="662" spans="1:17" x14ac:dyDescent="0.3">
      <c r="A662">
        <v>1000000660</v>
      </c>
      <c r="B662" s="1">
        <v>44382.258923611109</v>
      </c>
      <c r="C662" t="s">
        <v>1293</v>
      </c>
      <c r="D662" t="s">
        <v>1294</v>
      </c>
      <c r="E662">
        <v>7</v>
      </c>
      <c r="F662">
        <v>21</v>
      </c>
      <c r="G662" t="s">
        <v>15</v>
      </c>
      <c r="H662" t="s">
        <v>32</v>
      </c>
      <c r="I662" t="s">
        <v>33</v>
      </c>
      <c r="J662" t="b">
        <v>0</v>
      </c>
      <c r="K662" t="s">
        <v>47</v>
      </c>
      <c r="L662" t="s">
        <v>19</v>
      </c>
      <c r="M662" t="s">
        <v>20</v>
      </c>
      <c r="N662">
        <f>YEAR(Table1[[#This Row],[Date]])</f>
        <v>2021</v>
      </c>
      <c r="O662" t="str">
        <f>TEXT(Table1[[#This Row],[Date]],"mmm")</f>
        <v>Jul</v>
      </c>
      <c r="P662" t="str">
        <f>IF(Table1[[#This Row],[Total_Cost]]&lt;25,"low",IF(Table1[[#This Row],[Total_Cost]]&lt;60,"medium","high"))</f>
        <v>low</v>
      </c>
      <c r="Q662" t="str">
        <f>IF(Table1[[#This Row],[Discount_Applied]]=TRUE,"discount applied","no discount")</f>
        <v>no discount</v>
      </c>
    </row>
    <row r="663" spans="1:17" x14ac:dyDescent="0.3">
      <c r="A663">
        <v>1000000661</v>
      </c>
      <c r="B663" s="1">
        <v>44741.603368055556</v>
      </c>
      <c r="C663" t="s">
        <v>1295</v>
      </c>
      <c r="D663" t="s">
        <v>1296</v>
      </c>
      <c r="E663">
        <v>7</v>
      </c>
      <c r="F663">
        <v>59.88</v>
      </c>
      <c r="G663" t="s">
        <v>31</v>
      </c>
      <c r="H663" t="s">
        <v>77</v>
      </c>
      <c r="I663" t="s">
        <v>46</v>
      </c>
      <c r="J663" t="b">
        <v>1</v>
      </c>
      <c r="K663" t="s">
        <v>47</v>
      </c>
      <c r="L663" t="s">
        <v>19</v>
      </c>
      <c r="M663" t="s">
        <v>43</v>
      </c>
      <c r="N663">
        <f>YEAR(Table1[[#This Row],[Date]])</f>
        <v>2022</v>
      </c>
      <c r="O663" t="str">
        <f>TEXT(Table1[[#This Row],[Date]],"mmm")</f>
        <v>Jun</v>
      </c>
      <c r="P663" t="str">
        <f>IF(Table1[[#This Row],[Total_Cost]]&lt;25,"low",IF(Table1[[#This Row],[Total_Cost]]&lt;60,"medium","high"))</f>
        <v>medium</v>
      </c>
      <c r="Q663" t="str">
        <f>IF(Table1[[#This Row],[Discount_Applied]]=TRUE,"discount applied","no discount")</f>
        <v>discount applied</v>
      </c>
    </row>
    <row r="664" spans="1:17" x14ac:dyDescent="0.3">
      <c r="A664">
        <v>1000000662</v>
      </c>
      <c r="B664" s="1">
        <v>45112.85564814815</v>
      </c>
      <c r="C664" t="s">
        <v>1297</v>
      </c>
      <c r="D664" t="s">
        <v>304</v>
      </c>
      <c r="E664">
        <v>4</v>
      </c>
      <c r="F664">
        <v>29.49</v>
      </c>
      <c r="G664" t="s">
        <v>15</v>
      </c>
      <c r="H664" t="s">
        <v>77</v>
      </c>
      <c r="I664" t="s">
        <v>37</v>
      </c>
      <c r="J664" t="b">
        <v>1</v>
      </c>
      <c r="K664" t="s">
        <v>42</v>
      </c>
      <c r="L664" t="s">
        <v>52</v>
      </c>
      <c r="M664" t="s">
        <v>43</v>
      </c>
      <c r="N664">
        <f>YEAR(Table1[[#This Row],[Date]])</f>
        <v>2023</v>
      </c>
      <c r="O664" t="str">
        <f>TEXT(Table1[[#This Row],[Date]],"mmm")</f>
        <v>Jul</v>
      </c>
      <c r="P664" t="str">
        <f>IF(Table1[[#This Row],[Total_Cost]]&lt;25,"low",IF(Table1[[#This Row],[Total_Cost]]&lt;60,"medium","high"))</f>
        <v>medium</v>
      </c>
      <c r="Q664" t="str">
        <f>IF(Table1[[#This Row],[Discount_Applied]]=TRUE,"discount applied","no discount")</f>
        <v>discount applied</v>
      </c>
    </row>
    <row r="665" spans="1:17" x14ac:dyDescent="0.3">
      <c r="A665">
        <v>1000000663</v>
      </c>
      <c r="B665" s="1">
        <v>44520.392222222225</v>
      </c>
      <c r="C665" t="s">
        <v>1298</v>
      </c>
      <c r="D665" t="s">
        <v>487</v>
      </c>
      <c r="E665">
        <v>6</v>
      </c>
      <c r="F665">
        <v>13.04</v>
      </c>
      <c r="G665" t="s">
        <v>15</v>
      </c>
      <c r="H665" t="s">
        <v>96</v>
      </c>
      <c r="I665" t="s">
        <v>59</v>
      </c>
      <c r="J665" t="b">
        <v>1</v>
      </c>
      <c r="K665" t="s">
        <v>62</v>
      </c>
      <c r="L665" t="s">
        <v>38</v>
      </c>
      <c r="M665" t="s">
        <v>20</v>
      </c>
      <c r="N665">
        <f>YEAR(Table1[[#This Row],[Date]])</f>
        <v>2021</v>
      </c>
      <c r="O665" t="str">
        <f>TEXT(Table1[[#This Row],[Date]],"mmm")</f>
        <v>Nov</v>
      </c>
      <c r="P665" t="str">
        <f>IF(Table1[[#This Row],[Total_Cost]]&lt;25,"low",IF(Table1[[#This Row],[Total_Cost]]&lt;60,"medium","high"))</f>
        <v>low</v>
      </c>
      <c r="Q665" t="str">
        <f>IF(Table1[[#This Row],[Discount_Applied]]=TRUE,"discount applied","no discount")</f>
        <v>discount applied</v>
      </c>
    </row>
    <row r="666" spans="1:17" x14ac:dyDescent="0.3">
      <c r="A666">
        <v>1000000664</v>
      </c>
      <c r="B666" s="1">
        <v>43926.035266203704</v>
      </c>
      <c r="C666" t="s">
        <v>1299</v>
      </c>
      <c r="D666" t="s">
        <v>1300</v>
      </c>
      <c r="E666">
        <v>4</v>
      </c>
      <c r="F666">
        <v>27.72</v>
      </c>
      <c r="G666" t="s">
        <v>15</v>
      </c>
      <c r="H666" t="s">
        <v>16</v>
      </c>
      <c r="I666" t="s">
        <v>59</v>
      </c>
      <c r="J666" t="b">
        <v>0</v>
      </c>
      <c r="K666" t="s">
        <v>26</v>
      </c>
      <c r="L666" t="s">
        <v>19</v>
      </c>
      <c r="M666" t="s">
        <v>28</v>
      </c>
      <c r="N666">
        <f>YEAR(Table1[[#This Row],[Date]])</f>
        <v>2020</v>
      </c>
      <c r="O666" t="str">
        <f>TEXT(Table1[[#This Row],[Date]],"mmm")</f>
        <v>Apr</v>
      </c>
      <c r="P666" t="str">
        <f>IF(Table1[[#This Row],[Total_Cost]]&lt;25,"low",IF(Table1[[#This Row],[Total_Cost]]&lt;60,"medium","high"))</f>
        <v>medium</v>
      </c>
      <c r="Q666" t="str">
        <f>IF(Table1[[#This Row],[Discount_Applied]]=TRUE,"discount applied","no discount")</f>
        <v>no discount</v>
      </c>
    </row>
    <row r="667" spans="1:17" x14ac:dyDescent="0.3">
      <c r="A667">
        <v>1000000665</v>
      </c>
      <c r="B667" s="1">
        <v>45396.636493055557</v>
      </c>
      <c r="C667" t="s">
        <v>1301</v>
      </c>
      <c r="D667" t="s">
        <v>451</v>
      </c>
      <c r="E667">
        <v>2</v>
      </c>
      <c r="F667">
        <v>23.39</v>
      </c>
      <c r="G667" t="s">
        <v>15</v>
      </c>
      <c r="H667" t="s">
        <v>77</v>
      </c>
      <c r="I667" t="s">
        <v>25</v>
      </c>
      <c r="J667" t="b">
        <v>0</v>
      </c>
      <c r="K667" t="s">
        <v>80</v>
      </c>
      <c r="L667" t="s">
        <v>19</v>
      </c>
      <c r="M667" t="s">
        <v>20</v>
      </c>
      <c r="N667">
        <f>YEAR(Table1[[#This Row],[Date]])</f>
        <v>2024</v>
      </c>
      <c r="O667" t="str">
        <f>TEXT(Table1[[#This Row],[Date]],"mmm")</f>
        <v>Apr</v>
      </c>
      <c r="P667" t="str">
        <f>IF(Table1[[#This Row],[Total_Cost]]&lt;25,"low",IF(Table1[[#This Row],[Total_Cost]]&lt;60,"medium","high"))</f>
        <v>low</v>
      </c>
      <c r="Q667" t="str">
        <f>IF(Table1[[#This Row],[Discount_Applied]]=TRUE,"discount applied","no discount")</f>
        <v>no discount</v>
      </c>
    </row>
    <row r="668" spans="1:17" x14ac:dyDescent="0.3">
      <c r="A668">
        <v>1000000666</v>
      </c>
      <c r="B668" s="1">
        <v>43944.575057870374</v>
      </c>
      <c r="C668" t="s">
        <v>1302</v>
      </c>
      <c r="D668" t="s">
        <v>1303</v>
      </c>
      <c r="E668">
        <v>6</v>
      </c>
      <c r="F668">
        <v>92.66</v>
      </c>
      <c r="G668" t="s">
        <v>41</v>
      </c>
      <c r="H668" t="s">
        <v>129</v>
      </c>
      <c r="I668" t="s">
        <v>37</v>
      </c>
      <c r="J668" t="b">
        <v>1</v>
      </c>
      <c r="K668" t="s">
        <v>26</v>
      </c>
      <c r="L668" t="s">
        <v>52</v>
      </c>
      <c r="M668" t="s">
        <v>20</v>
      </c>
      <c r="N668">
        <f>YEAR(Table1[[#This Row],[Date]])</f>
        <v>2020</v>
      </c>
      <c r="O668" t="str">
        <f>TEXT(Table1[[#This Row],[Date]],"mmm")</f>
        <v>Apr</v>
      </c>
      <c r="P668" t="str">
        <f>IF(Table1[[#This Row],[Total_Cost]]&lt;25,"low",IF(Table1[[#This Row],[Total_Cost]]&lt;60,"medium","high"))</f>
        <v>high</v>
      </c>
      <c r="Q668" t="str">
        <f>IF(Table1[[#This Row],[Discount_Applied]]=TRUE,"discount applied","no discount")</f>
        <v>discount applied</v>
      </c>
    </row>
    <row r="669" spans="1:17" x14ac:dyDescent="0.3">
      <c r="A669">
        <v>1000000667</v>
      </c>
      <c r="B669" s="1">
        <v>44999.800810185188</v>
      </c>
      <c r="C669" t="s">
        <v>1304</v>
      </c>
      <c r="D669" t="s">
        <v>248</v>
      </c>
      <c r="E669">
        <v>8</v>
      </c>
      <c r="F669">
        <v>70.760000000000005</v>
      </c>
      <c r="G669" t="s">
        <v>41</v>
      </c>
      <c r="H669" t="s">
        <v>129</v>
      </c>
      <c r="I669" t="s">
        <v>17</v>
      </c>
      <c r="J669" t="b">
        <v>0</v>
      </c>
      <c r="K669" t="s">
        <v>18</v>
      </c>
      <c r="L669" t="s">
        <v>52</v>
      </c>
      <c r="M669" t="s">
        <v>28</v>
      </c>
      <c r="N669">
        <f>YEAR(Table1[[#This Row],[Date]])</f>
        <v>2023</v>
      </c>
      <c r="O669" t="str">
        <f>TEXT(Table1[[#This Row],[Date]],"mmm")</f>
        <v>Mar</v>
      </c>
      <c r="P669" t="str">
        <f>IF(Table1[[#This Row],[Total_Cost]]&lt;25,"low",IF(Table1[[#This Row],[Total_Cost]]&lt;60,"medium","high"))</f>
        <v>high</v>
      </c>
      <c r="Q669" t="str">
        <f>IF(Table1[[#This Row],[Discount_Applied]]=TRUE,"discount applied","no discount")</f>
        <v>no discount</v>
      </c>
    </row>
    <row r="670" spans="1:17" x14ac:dyDescent="0.3">
      <c r="A670">
        <v>1000000668</v>
      </c>
      <c r="B670" s="1">
        <v>44937.389131944445</v>
      </c>
      <c r="C670" t="s">
        <v>1305</v>
      </c>
      <c r="D670" t="s">
        <v>1306</v>
      </c>
      <c r="E670">
        <v>7</v>
      </c>
      <c r="F670">
        <v>99.93</v>
      </c>
      <c r="G670" t="s">
        <v>31</v>
      </c>
      <c r="H670" t="s">
        <v>32</v>
      </c>
      <c r="I670" t="s">
        <v>46</v>
      </c>
      <c r="J670" t="b">
        <v>0</v>
      </c>
      <c r="K670" t="s">
        <v>26</v>
      </c>
      <c r="L670" t="s">
        <v>19</v>
      </c>
      <c r="M670" t="s">
        <v>43</v>
      </c>
      <c r="N670">
        <f>YEAR(Table1[[#This Row],[Date]])</f>
        <v>2023</v>
      </c>
      <c r="O670" t="str">
        <f>TEXT(Table1[[#This Row],[Date]],"mmm")</f>
        <v>Jan</v>
      </c>
      <c r="P670" t="str">
        <f>IF(Table1[[#This Row],[Total_Cost]]&lt;25,"low",IF(Table1[[#This Row],[Total_Cost]]&lt;60,"medium","high"))</f>
        <v>high</v>
      </c>
      <c r="Q670" t="str">
        <f>IF(Table1[[#This Row],[Discount_Applied]]=TRUE,"discount applied","no discount")</f>
        <v>no discount</v>
      </c>
    </row>
    <row r="671" spans="1:17" x14ac:dyDescent="0.3">
      <c r="A671">
        <v>1000000669</v>
      </c>
      <c r="B671" s="1">
        <v>45298.304513888892</v>
      </c>
      <c r="C671" t="s">
        <v>1307</v>
      </c>
      <c r="D671" t="s">
        <v>1308</v>
      </c>
      <c r="E671">
        <v>2</v>
      </c>
      <c r="F671">
        <v>93.68</v>
      </c>
      <c r="G671" t="s">
        <v>41</v>
      </c>
      <c r="H671" t="s">
        <v>16</v>
      </c>
      <c r="I671" t="s">
        <v>33</v>
      </c>
      <c r="J671" t="b">
        <v>1</v>
      </c>
      <c r="K671" t="s">
        <v>18</v>
      </c>
      <c r="L671" t="s">
        <v>52</v>
      </c>
      <c r="M671" t="s">
        <v>43</v>
      </c>
      <c r="N671">
        <f>YEAR(Table1[[#This Row],[Date]])</f>
        <v>2024</v>
      </c>
      <c r="O671" t="str">
        <f>TEXT(Table1[[#This Row],[Date]],"mmm")</f>
        <v>Jan</v>
      </c>
      <c r="P671" t="str">
        <f>IF(Table1[[#This Row],[Total_Cost]]&lt;25,"low",IF(Table1[[#This Row],[Total_Cost]]&lt;60,"medium","high"))</f>
        <v>high</v>
      </c>
      <c r="Q671" t="str">
        <f>IF(Table1[[#This Row],[Discount_Applied]]=TRUE,"discount applied","no discount")</f>
        <v>discount applied</v>
      </c>
    </row>
    <row r="672" spans="1:17" x14ac:dyDescent="0.3">
      <c r="A672">
        <v>1000000670</v>
      </c>
      <c r="B672" s="1">
        <v>45146.902442129627</v>
      </c>
      <c r="C672" t="s">
        <v>1309</v>
      </c>
      <c r="D672" t="s">
        <v>1310</v>
      </c>
      <c r="E672">
        <v>7</v>
      </c>
      <c r="F672">
        <v>19.13</v>
      </c>
      <c r="G672" t="s">
        <v>31</v>
      </c>
      <c r="H672" t="s">
        <v>24</v>
      </c>
      <c r="I672" t="s">
        <v>25</v>
      </c>
      <c r="J672" t="b">
        <v>0</v>
      </c>
      <c r="K672" t="s">
        <v>62</v>
      </c>
      <c r="L672" t="s">
        <v>38</v>
      </c>
      <c r="M672" t="s">
        <v>43</v>
      </c>
      <c r="N672">
        <f>YEAR(Table1[[#This Row],[Date]])</f>
        <v>2023</v>
      </c>
      <c r="O672" t="str">
        <f>TEXT(Table1[[#This Row],[Date]],"mmm")</f>
        <v>Aug</v>
      </c>
      <c r="P672" t="str">
        <f>IF(Table1[[#This Row],[Total_Cost]]&lt;25,"low",IF(Table1[[#This Row],[Total_Cost]]&lt;60,"medium","high"))</f>
        <v>low</v>
      </c>
      <c r="Q672" t="str">
        <f>IF(Table1[[#This Row],[Discount_Applied]]=TRUE,"discount applied","no discount")</f>
        <v>no discount</v>
      </c>
    </row>
    <row r="673" spans="1:17" x14ac:dyDescent="0.3">
      <c r="A673">
        <v>1000000671</v>
      </c>
      <c r="B673" s="1">
        <v>45195.819062499999</v>
      </c>
      <c r="C673" t="s">
        <v>1311</v>
      </c>
      <c r="D673" t="s">
        <v>1312</v>
      </c>
      <c r="E673">
        <v>3</v>
      </c>
      <c r="F673">
        <v>92.95</v>
      </c>
      <c r="G673" t="s">
        <v>15</v>
      </c>
      <c r="H673" t="s">
        <v>16</v>
      </c>
      <c r="I673" t="s">
        <v>33</v>
      </c>
      <c r="J673" t="b">
        <v>0</v>
      </c>
      <c r="K673" t="s">
        <v>62</v>
      </c>
      <c r="L673" t="s">
        <v>19</v>
      </c>
      <c r="M673" t="s">
        <v>28</v>
      </c>
      <c r="N673">
        <f>YEAR(Table1[[#This Row],[Date]])</f>
        <v>2023</v>
      </c>
      <c r="O673" t="str">
        <f>TEXT(Table1[[#This Row],[Date]],"mmm")</f>
        <v>Sep</v>
      </c>
      <c r="P673" t="str">
        <f>IF(Table1[[#This Row],[Total_Cost]]&lt;25,"low",IF(Table1[[#This Row],[Total_Cost]]&lt;60,"medium","high"))</f>
        <v>high</v>
      </c>
      <c r="Q673" t="str">
        <f>IF(Table1[[#This Row],[Discount_Applied]]=TRUE,"discount applied","no discount")</f>
        <v>no discount</v>
      </c>
    </row>
    <row r="674" spans="1:17" x14ac:dyDescent="0.3">
      <c r="A674">
        <v>1000000672</v>
      </c>
      <c r="B674" s="1">
        <v>44862.582048611112</v>
      </c>
      <c r="C674" t="s">
        <v>1313</v>
      </c>
      <c r="D674" t="s">
        <v>1314</v>
      </c>
      <c r="E674">
        <v>8</v>
      </c>
      <c r="F674">
        <v>45.71</v>
      </c>
      <c r="G674" t="s">
        <v>15</v>
      </c>
      <c r="H674" t="s">
        <v>24</v>
      </c>
      <c r="I674" t="s">
        <v>17</v>
      </c>
      <c r="J674" t="b">
        <v>1</v>
      </c>
      <c r="K674" t="s">
        <v>26</v>
      </c>
      <c r="L674" t="s">
        <v>27</v>
      </c>
      <c r="M674" t="s">
        <v>20</v>
      </c>
      <c r="N674">
        <f>YEAR(Table1[[#This Row],[Date]])</f>
        <v>2022</v>
      </c>
      <c r="O674" t="str">
        <f>TEXT(Table1[[#This Row],[Date]],"mmm")</f>
        <v>Oct</v>
      </c>
      <c r="P674" t="str">
        <f>IF(Table1[[#This Row],[Total_Cost]]&lt;25,"low",IF(Table1[[#This Row],[Total_Cost]]&lt;60,"medium","high"))</f>
        <v>medium</v>
      </c>
      <c r="Q674" t="str">
        <f>IF(Table1[[#This Row],[Discount_Applied]]=TRUE,"discount applied","no discount")</f>
        <v>discount applied</v>
      </c>
    </row>
    <row r="675" spans="1:17" x14ac:dyDescent="0.3">
      <c r="A675">
        <v>1000000673</v>
      </c>
      <c r="B675" s="1">
        <v>45030.918807870374</v>
      </c>
      <c r="C675" t="s">
        <v>1315</v>
      </c>
      <c r="D675" t="s">
        <v>1316</v>
      </c>
      <c r="E675">
        <v>3</v>
      </c>
      <c r="F675">
        <v>61.15</v>
      </c>
      <c r="G675" t="s">
        <v>23</v>
      </c>
      <c r="H675" t="s">
        <v>24</v>
      </c>
      <c r="I675" t="s">
        <v>37</v>
      </c>
      <c r="J675" t="b">
        <v>1</v>
      </c>
      <c r="K675" t="s">
        <v>42</v>
      </c>
      <c r="L675" t="s">
        <v>52</v>
      </c>
      <c r="M675" t="s">
        <v>43</v>
      </c>
      <c r="N675">
        <f>YEAR(Table1[[#This Row],[Date]])</f>
        <v>2023</v>
      </c>
      <c r="O675" t="str">
        <f>TEXT(Table1[[#This Row],[Date]],"mmm")</f>
        <v>Apr</v>
      </c>
      <c r="P675" t="str">
        <f>IF(Table1[[#This Row],[Total_Cost]]&lt;25,"low",IF(Table1[[#This Row],[Total_Cost]]&lt;60,"medium","high"))</f>
        <v>high</v>
      </c>
      <c r="Q675" t="str">
        <f>IF(Table1[[#This Row],[Discount_Applied]]=TRUE,"discount applied","no discount")</f>
        <v>discount applied</v>
      </c>
    </row>
    <row r="676" spans="1:17" x14ac:dyDescent="0.3">
      <c r="A676">
        <v>1000000674</v>
      </c>
      <c r="B676" s="1">
        <v>44223.299293981479</v>
      </c>
      <c r="C676" t="s">
        <v>1317</v>
      </c>
      <c r="D676" t="s">
        <v>1318</v>
      </c>
      <c r="E676">
        <v>3</v>
      </c>
      <c r="F676">
        <v>28.4</v>
      </c>
      <c r="G676" t="s">
        <v>31</v>
      </c>
      <c r="H676" t="s">
        <v>36</v>
      </c>
      <c r="I676" t="s">
        <v>46</v>
      </c>
      <c r="J676" t="b">
        <v>1</v>
      </c>
      <c r="K676" t="s">
        <v>42</v>
      </c>
      <c r="L676" t="s">
        <v>38</v>
      </c>
      <c r="M676" t="s">
        <v>28</v>
      </c>
      <c r="N676">
        <f>YEAR(Table1[[#This Row],[Date]])</f>
        <v>2021</v>
      </c>
      <c r="O676" t="str">
        <f>TEXT(Table1[[#This Row],[Date]],"mmm")</f>
        <v>Jan</v>
      </c>
      <c r="P676" t="str">
        <f>IF(Table1[[#This Row],[Total_Cost]]&lt;25,"low",IF(Table1[[#This Row],[Total_Cost]]&lt;60,"medium","high"))</f>
        <v>medium</v>
      </c>
      <c r="Q676" t="str">
        <f>IF(Table1[[#This Row],[Discount_Applied]]=TRUE,"discount applied","no discount")</f>
        <v>discount applied</v>
      </c>
    </row>
    <row r="677" spans="1:17" x14ac:dyDescent="0.3">
      <c r="A677">
        <v>1000000675</v>
      </c>
      <c r="B677" s="1">
        <v>45261.470335648148</v>
      </c>
      <c r="C677" t="s">
        <v>1319</v>
      </c>
      <c r="D677" t="s">
        <v>1320</v>
      </c>
      <c r="E677">
        <v>7</v>
      </c>
      <c r="F677">
        <v>51.42</v>
      </c>
      <c r="G677" t="s">
        <v>41</v>
      </c>
      <c r="H677" t="s">
        <v>70</v>
      </c>
      <c r="I677" t="s">
        <v>46</v>
      </c>
      <c r="J677" t="b">
        <v>0</v>
      </c>
      <c r="K677" t="s">
        <v>47</v>
      </c>
      <c r="L677" t="s">
        <v>38</v>
      </c>
      <c r="M677" t="s">
        <v>20</v>
      </c>
      <c r="N677">
        <f>YEAR(Table1[[#This Row],[Date]])</f>
        <v>2023</v>
      </c>
      <c r="O677" t="str">
        <f>TEXT(Table1[[#This Row],[Date]],"mmm")</f>
        <v>Dec</v>
      </c>
      <c r="P677" t="str">
        <f>IF(Table1[[#This Row],[Total_Cost]]&lt;25,"low",IF(Table1[[#This Row],[Total_Cost]]&lt;60,"medium","high"))</f>
        <v>medium</v>
      </c>
      <c r="Q677" t="str">
        <f>IF(Table1[[#This Row],[Discount_Applied]]=TRUE,"discount applied","no discount")</f>
        <v>no discount</v>
      </c>
    </row>
    <row r="678" spans="1:17" x14ac:dyDescent="0.3">
      <c r="A678">
        <v>1000000676</v>
      </c>
      <c r="B678" s="1">
        <v>44413.744270833333</v>
      </c>
      <c r="C678" t="s">
        <v>1321</v>
      </c>
      <c r="D678" t="s">
        <v>1322</v>
      </c>
      <c r="E678">
        <v>7</v>
      </c>
      <c r="F678">
        <v>36.79</v>
      </c>
      <c r="G678" t="s">
        <v>31</v>
      </c>
      <c r="H678" t="s">
        <v>129</v>
      </c>
      <c r="I678" t="s">
        <v>25</v>
      </c>
      <c r="J678" t="b">
        <v>0</v>
      </c>
      <c r="K678" t="s">
        <v>26</v>
      </c>
      <c r="L678" t="s">
        <v>27</v>
      </c>
      <c r="M678" t="s">
        <v>43</v>
      </c>
      <c r="N678">
        <f>YEAR(Table1[[#This Row],[Date]])</f>
        <v>2021</v>
      </c>
      <c r="O678" t="str">
        <f>TEXT(Table1[[#This Row],[Date]],"mmm")</f>
        <v>Aug</v>
      </c>
      <c r="P678" t="str">
        <f>IF(Table1[[#This Row],[Total_Cost]]&lt;25,"low",IF(Table1[[#This Row],[Total_Cost]]&lt;60,"medium","high"))</f>
        <v>medium</v>
      </c>
      <c r="Q678" t="str">
        <f>IF(Table1[[#This Row],[Discount_Applied]]=TRUE,"discount applied","no discount")</f>
        <v>no discount</v>
      </c>
    </row>
    <row r="679" spans="1:17" x14ac:dyDescent="0.3">
      <c r="A679">
        <v>1000000677</v>
      </c>
      <c r="B679" s="1">
        <v>44571.444988425923</v>
      </c>
      <c r="C679" t="s">
        <v>1323</v>
      </c>
      <c r="D679" t="s">
        <v>1324</v>
      </c>
      <c r="E679">
        <v>3</v>
      </c>
      <c r="F679">
        <v>69.099999999999994</v>
      </c>
      <c r="G679" t="s">
        <v>15</v>
      </c>
      <c r="H679" t="s">
        <v>50</v>
      </c>
      <c r="I679" t="s">
        <v>46</v>
      </c>
      <c r="J679" t="b">
        <v>1</v>
      </c>
      <c r="K679" t="s">
        <v>87</v>
      </c>
      <c r="L679" t="s">
        <v>27</v>
      </c>
      <c r="M679" t="s">
        <v>43</v>
      </c>
      <c r="N679">
        <f>YEAR(Table1[[#This Row],[Date]])</f>
        <v>2022</v>
      </c>
      <c r="O679" t="str">
        <f>TEXT(Table1[[#This Row],[Date]],"mmm")</f>
        <v>Jan</v>
      </c>
      <c r="P679" t="str">
        <f>IF(Table1[[#This Row],[Total_Cost]]&lt;25,"low",IF(Table1[[#This Row],[Total_Cost]]&lt;60,"medium","high"))</f>
        <v>high</v>
      </c>
      <c r="Q679" t="str">
        <f>IF(Table1[[#This Row],[Discount_Applied]]=TRUE,"discount applied","no discount")</f>
        <v>discount applied</v>
      </c>
    </row>
    <row r="680" spans="1:17" x14ac:dyDescent="0.3">
      <c r="A680">
        <v>1000000678</v>
      </c>
      <c r="B680" s="1">
        <v>45030.764421296299</v>
      </c>
      <c r="C680" t="s">
        <v>1325</v>
      </c>
      <c r="D680" t="s">
        <v>1326</v>
      </c>
      <c r="E680">
        <v>1</v>
      </c>
      <c r="F680">
        <v>50.42</v>
      </c>
      <c r="G680" t="s">
        <v>23</v>
      </c>
      <c r="H680" t="s">
        <v>50</v>
      </c>
      <c r="I680" t="s">
        <v>59</v>
      </c>
      <c r="J680" t="b">
        <v>0</v>
      </c>
      <c r="K680" t="s">
        <v>62</v>
      </c>
      <c r="L680" t="s">
        <v>19</v>
      </c>
      <c r="M680" t="s">
        <v>20</v>
      </c>
      <c r="N680">
        <f>YEAR(Table1[[#This Row],[Date]])</f>
        <v>2023</v>
      </c>
      <c r="O680" t="str">
        <f>TEXT(Table1[[#This Row],[Date]],"mmm")</f>
        <v>Apr</v>
      </c>
      <c r="P680" t="str">
        <f>IF(Table1[[#This Row],[Total_Cost]]&lt;25,"low",IF(Table1[[#This Row],[Total_Cost]]&lt;60,"medium","high"))</f>
        <v>medium</v>
      </c>
      <c r="Q680" t="str">
        <f>IF(Table1[[#This Row],[Discount_Applied]]=TRUE,"discount applied","no discount")</f>
        <v>no discount</v>
      </c>
    </row>
    <row r="681" spans="1:17" x14ac:dyDescent="0.3">
      <c r="A681">
        <v>1000000679</v>
      </c>
      <c r="B681" s="1">
        <v>44241.446597222224</v>
      </c>
      <c r="C681" t="s">
        <v>1327</v>
      </c>
      <c r="D681" t="s">
        <v>1328</v>
      </c>
      <c r="E681">
        <v>5</v>
      </c>
      <c r="F681">
        <v>24.64</v>
      </c>
      <c r="G681" t="s">
        <v>31</v>
      </c>
      <c r="H681" t="s">
        <v>65</v>
      </c>
      <c r="I681" t="s">
        <v>33</v>
      </c>
      <c r="J681" t="b">
        <v>1</v>
      </c>
      <c r="K681" t="s">
        <v>87</v>
      </c>
      <c r="L681" t="s">
        <v>38</v>
      </c>
      <c r="M681" t="s">
        <v>28</v>
      </c>
      <c r="N681">
        <f>YEAR(Table1[[#This Row],[Date]])</f>
        <v>2021</v>
      </c>
      <c r="O681" t="str">
        <f>TEXT(Table1[[#This Row],[Date]],"mmm")</f>
        <v>Feb</v>
      </c>
      <c r="P681" t="str">
        <f>IF(Table1[[#This Row],[Total_Cost]]&lt;25,"low",IF(Table1[[#This Row],[Total_Cost]]&lt;60,"medium","high"))</f>
        <v>low</v>
      </c>
      <c r="Q681" t="str">
        <f>IF(Table1[[#This Row],[Discount_Applied]]=TRUE,"discount applied","no discount")</f>
        <v>discount applied</v>
      </c>
    </row>
    <row r="682" spans="1:17" x14ac:dyDescent="0.3">
      <c r="A682">
        <v>1000000680</v>
      </c>
      <c r="B682" s="1">
        <v>45102.449201388888</v>
      </c>
      <c r="C682" t="s">
        <v>1329</v>
      </c>
      <c r="D682" t="s">
        <v>1330</v>
      </c>
      <c r="E682">
        <v>3</v>
      </c>
      <c r="F682">
        <v>99.4</v>
      </c>
      <c r="G682" t="s">
        <v>41</v>
      </c>
      <c r="H682" t="s">
        <v>65</v>
      </c>
      <c r="I682" t="s">
        <v>46</v>
      </c>
      <c r="J682" t="b">
        <v>1</v>
      </c>
      <c r="K682" t="s">
        <v>51</v>
      </c>
      <c r="L682" t="s">
        <v>27</v>
      </c>
      <c r="M682" t="s">
        <v>43</v>
      </c>
      <c r="N682">
        <f>YEAR(Table1[[#This Row],[Date]])</f>
        <v>2023</v>
      </c>
      <c r="O682" t="str">
        <f>TEXT(Table1[[#This Row],[Date]],"mmm")</f>
        <v>Jun</v>
      </c>
      <c r="P682" t="str">
        <f>IF(Table1[[#This Row],[Total_Cost]]&lt;25,"low",IF(Table1[[#This Row],[Total_Cost]]&lt;60,"medium","high"))</f>
        <v>high</v>
      </c>
      <c r="Q682" t="str">
        <f>IF(Table1[[#This Row],[Discount_Applied]]=TRUE,"discount applied","no discount")</f>
        <v>discount applied</v>
      </c>
    </row>
    <row r="683" spans="1:17" x14ac:dyDescent="0.3">
      <c r="A683">
        <v>1000000681</v>
      </c>
      <c r="B683" s="1">
        <v>43943.367835648147</v>
      </c>
      <c r="C683" t="s">
        <v>1331</v>
      </c>
      <c r="D683" t="s">
        <v>1332</v>
      </c>
      <c r="E683">
        <v>7</v>
      </c>
      <c r="F683">
        <v>18.37</v>
      </c>
      <c r="G683" t="s">
        <v>41</v>
      </c>
      <c r="H683" t="s">
        <v>36</v>
      </c>
      <c r="I683" t="s">
        <v>37</v>
      </c>
      <c r="J683" t="b">
        <v>1</v>
      </c>
      <c r="K683" t="s">
        <v>87</v>
      </c>
      <c r="L683" t="s">
        <v>52</v>
      </c>
      <c r="M683" t="s">
        <v>28</v>
      </c>
      <c r="N683">
        <f>YEAR(Table1[[#This Row],[Date]])</f>
        <v>2020</v>
      </c>
      <c r="O683" t="str">
        <f>TEXT(Table1[[#This Row],[Date]],"mmm")</f>
        <v>Apr</v>
      </c>
      <c r="P683" t="str">
        <f>IF(Table1[[#This Row],[Total_Cost]]&lt;25,"low",IF(Table1[[#This Row],[Total_Cost]]&lt;60,"medium","high"))</f>
        <v>low</v>
      </c>
      <c r="Q683" t="str">
        <f>IF(Table1[[#This Row],[Discount_Applied]]=TRUE,"discount applied","no discount")</f>
        <v>discount applied</v>
      </c>
    </row>
    <row r="684" spans="1:17" x14ac:dyDescent="0.3">
      <c r="A684">
        <v>1000000682</v>
      </c>
      <c r="B684" s="1">
        <v>44693.977361111109</v>
      </c>
      <c r="C684" t="s">
        <v>1333</v>
      </c>
      <c r="D684" t="s">
        <v>1334</v>
      </c>
      <c r="E684">
        <v>7</v>
      </c>
      <c r="F684">
        <v>53.34</v>
      </c>
      <c r="G684" t="s">
        <v>15</v>
      </c>
      <c r="H684" t="s">
        <v>129</v>
      </c>
      <c r="I684" t="s">
        <v>25</v>
      </c>
      <c r="J684" t="b">
        <v>1</v>
      </c>
      <c r="K684" t="s">
        <v>80</v>
      </c>
      <c r="L684" t="s">
        <v>19</v>
      </c>
      <c r="M684" t="s">
        <v>28</v>
      </c>
      <c r="N684">
        <f>YEAR(Table1[[#This Row],[Date]])</f>
        <v>2022</v>
      </c>
      <c r="O684" t="str">
        <f>TEXT(Table1[[#This Row],[Date]],"mmm")</f>
        <v>May</v>
      </c>
      <c r="P684" t="str">
        <f>IF(Table1[[#This Row],[Total_Cost]]&lt;25,"low",IF(Table1[[#This Row],[Total_Cost]]&lt;60,"medium","high"))</f>
        <v>medium</v>
      </c>
      <c r="Q684" t="str">
        <f>IF(Table1[[#This Row],[Discount_Applied]]=TRUE,"discount applied","no discount")</f>
        <v>discount applied</v>
      </c>
    </row>
    <row r="685" spans="1:17" x14ac:dyDescent="0.3">
      <c r="A685">
        <v>1000000683</v>
      </c>
      <c r="B685" s="1">
        <v>44213.855069444442</v>
      </c>
      <c r="C685" t="s">
        <v>1335</v>
      </c>
      <c r="D685" t="s">
        <v>248</v>
      </c>
      <c r="E685">
        <v>5</v>
      </c>
      <c r="F685">
        <v>71.13</v>
      </c>
      <c r="G685" t="s">
        <v>15</v>
      </c>
      <c r="H685" t="s">
        <v>24</v>
      </c>
      <c r="I685" t="s">
        <v>59</v>
      </c>
      <c r="J685" t="b">
        <v>1</v>
      </c>
      <c r="K685" t="s">
        <v>62</v>
      </c>
      <c r="L685" t="s">
        <v>27</v>
      </c>
      <c r="M685" t="s">
        <v>20</v>
      </c>
      <c r="N685">
        <f>YEAR(Table1[[#This Row],[Date]])</f>
        <v>2021</v>
      </c>
      <c r="O685" t="str">
        <f>TEXT(Table1[[#This Row],[Date]],"mmm")</f>
        <v>Jan</v>
      </c>
      <c r="P685" t="str">
        <f>IF(Table1[[#This Row],[Total_Cost]]&lt;25,"low",IF(Table1[[#This Row],[Total_Cost]]&lt;60,"medium","high"))</f>
        <v>high</v>
      </c>
      <c r="Q685" t="str">
        <f>IF(Table1[[#This Row],[Discount_Applied]]=TRUE,"discount applied","no discount")</f>
        <v>discount applied</v>
      </c>
    </row>
    <row r="686" spans="1:17" x14ac:dyDescent="0.3">
      <c r="A686">
        <v>1000000684</v>
      </c>
      <c r="B686" s="1">
        <v>45114.838865740741</v>
      </c>
      <c r="C686" t="s">
        <v>1336</v>
      </c>
      <c r="D686" t="s">
        <v>1337</v>
      </c>
      <c r="E686">
        <v>3</v>
      </c>
      <c r="F686">
        <v>42.28</v>
      </c>
      <c r="G686" t="s">
        <v>23</v>
      </c>
      <c r="H686" t="s">
        <v>96</v>
      </c>
      <c r="I686" t="s">
        <v>59</v>
      </c>
      <c r="J686" t="b">
        <v>1</v>
      </c>
      <c r="K686" t="s">
        <v>51</v>
      </c>
      <c r="L686" t="s">
        <v>38</v>
      </c>
      <c r="M686" t="s">
        <v>28</v>
      </c>
      <c r="N686">
        <f>YEAR(Table1[[#This Row],[Date]])</f>
        <v>2023</v>
      </c>
      <c r="O686" t="str">
        <f>TEXT(Table1[[#This Row],[Date]],"mmm")</f>
        <v>Jul</v>
      </c>
      <c r="P686" t="str">
        <f>IF(Table1[[#This Row],[Total_Cost]]&lt;25,"low",IF(Table1[[#This Row],[Total_Cost]]&lt;60,"medium","high"))</f>
        <v>medium</v>
      </c>
      <c r="Q686" t="str">
        <f>IF(Table1[[#This Row],[Discount_Applied]]=TRUE,"discount applied","no discount")</f>
        <v>discount applied</v>
      </c>
    </row>
    <row r="687" spans="1:17" x14ac:dyDescent="0.3">
      <c r="A687">
        <v>1000000685</v>
      </c>
      <c r="B687" s="1">
        <v>43969.920590277776</v>
      </c>
      <c r="C687" t="s">
        <v>1338</v>
      </c>
      <c r="D687" t="s">
        <v>1339</v>
      </c>
      <c r="E687">
        <v>10</v>
      </c>
      <c r="F687">
        <v>75.349999999999994</v>
      </c>
      <c r="G687" t="s">
        <v>31</v>
      </c>
      <c r="H687" t="s">
        <v>32</v>
      </c>
      <c r="I687" t="s">
        <v>17</v>
      </c>
      <c r="J687" t="b">
        <v>0</v>
      </c>
      <c r="K687" t="s">
        <v>47</v>
      </c>
      <c r="L687" t="s">
        <v>52</v>
      </c>
      <c r="M687" t="s">
        <v>28</v>
      </c>
      <c r="N687">
        <f>YEAR(Table1[[#This Row],[Date]])</f>
        <v>2020</v>
      </c>
      <c r="O687" t="str">
        <f>TEXT(Table1[[#This Row],[Date]],"mmm")</f>
        <v>May</v>
      </c>
      <c r="P687" t="str">
        <f>IF(Table1[[#This Row],[Total_Cost]]&lt;25,"low",IF(Table1[[#This Row],[Total_Cost]]&lt;60,"medium","high"))</f>
        <v>high</v>
      </c>
      <c r="Q687" t="str">
        <f>IF(Table1[[#This Row],[Discount_Applied]]=TRUE,"discount applied","no discount")</f>
        <v>no discount</v>
      </c>
    </row>
    <row r="688" spans="1:17" x14ac:dyDescent="0.3">
      <c r="A688">
        <v>1000000686</v>
      </c>
      <c r="B688" s="1">
        <v>44436.154583333337</v>
      </c>
      <c r="C688" t="s">
        <v>1340</v>
      </c>
      <c r="D688" t="s">
        <v>1341</v>
      </c>
      <c r="E688">
        <v>1</v>
      </c>
      <c r="F688">
        <v>43.31</v>
      </c>
      <c r="G688" t="s">
        <v>23</v>
      </c>
      <c r="H688" t="s">
        <v>77</v>
      </c>
      <c r="I688" t="s">
        <v>37</v>
      </c>
      <c r="J688" t="b">
        <v>0</v>
      </c>
      <c r="K688" t="s">
        <v>47</v>
      </c>
      <c r="L688" t="s">
        <v>38</v>
      </c>
      <c r="M688" t="s">
        <v>28</v>
      </c>
      <c r="N688">
        <f>YEAR(Table1[[#This Row],[Date]])</f>
        <v>2021</v>
      </c>
      <c r="O688" t="str">
        <f>TEXT(Table1[[#This Row],[Date]],"mmm")</f>
        <v>Aug</v>
      </c>
      <c r="P688" t="str">
        <f>IF(Table1[[#This Row],[Total_Cost]]&lt;25,"low",IF(Table1[[#This Row],[Total_Cost]]&lt;60,"medium","high"))</f>
        <v>medium</v>
      </c>
      <c r="Q688" t="str">
        <f>IF(Table1[[#This Row],[Discount_Applied]]=TRUE,"discount applied","no discount")</f>
        <v>no discount</v>
      </c>
    </row>
    <row r="689" spans="1:17" x14ac:dyDescent="0.3">
      <c r="A689">
        <v>1000000687</v>
      </c>
      <c r="B689" s="1">
        <v>44626.928564814814</v>
      </c>
      <c r="C689" t="s">
        <v>1342</v>
      </c>
      <c r="D689" t="s">
        <v>1343</v>
      </c>
      <c r="E689">
        <v>5</v>
      </c>
      <c r="F689">
        <v>92.32</v>
      </c>
      <c r="G689" t="s">
        <v>23</v>
      </c>
      <c r="H689" t="s">
        <v>24</v>
      </c>
      <c r="I689" t="s">
        <v>37</v>
      </c>
      <c r="J689" t="b">
        <v>1</v>
      </c>
      <c r="K689" t="s">
        <v>42</v>
      </c>
      <c r="L689" t="s">
        <v>19</v>
      </c>
      <c r="M689" t="s">
        <v>28</v>
      </c>
      <c r="N689">
        <f>YEAR(Table1[[#This Row],[Date]])</f>
        <v>2022</v>
      </c>
      <c r="O689" t="str">
        <f>TEXT(Table1[[#This Row],[Date]],"mmm")</f>
        <v>Mar</v>
      </c>
      <c r="P689" t="str">
        <f>IF(Table1[[#This Row],[Total_Cost]]&lt;25,"low",IF(Table1[[#This Row],[Total_Cost]]&lt;60,"medium","high"))</f>
        <v>high</v>
      </c>
      <c r="Q689" t="str">
        <f>IF(Table1[[#This Row],[Discount_Applied]]=TRUE,"discount applied","no discount")</f>
        <v>discount applied</v>
      </c>
    </row>
    <row r="690" spans="1:17" x14ac:dyDescent="0.3">
      <c r="A690">
        <v>1000000688</v>
      </c>
      <c r="B690" s="1">
        <v>45268.789814814816</v>
      </c>
      <c r="C690" t="s">
        <v>1344</v>
      </c>
      <c r="D690" t="s">
        <v>1345</v>
      </c>
      <c r="E690">
        <v>7</v>
      </c>
      <c r="F690">
        <v>62.03</v>
      </c>
      <c r="G690" t="s">
        <v>23</v>
      </c>
      <c r="H690" t="s">
        <v>50</v>
      </c>
      <c r="I690" t="s">
        <v>17</v>
      </c>
      <c r="J690" t="b">
        <v>1</v>
      </c>
      <c r="K690" t="s">
        <v>51</v>
      </c>
      <c r="L690" t="s">
        <v>19</v>
      </c>
      <c r="M690" t="s">
        <v>28</v>
      </c>
      <c r="N690">
        <f>YEAR(Table1[[#This Row],[Date]])</f>
        <v>2023</v>
      </c>
      <c r="O690" t="str">
        <f>TEXT(Table1[[#This Row],[Date]],"mmm")</f>
        <v>Dec</v>
      </c>
      <c r="P690" t="str">
        <f>IF(Table1[[#This Row],[Total_Cost]]&lt;25,"low",IF(Table1[[#This Row],[Total_Cost]]&lt;60,"medium","high"))</f>
        <v>high</v>
      </c>
      <c r="Q690" t="str">
        <f>IF(Table1[[#This Row],[Discount_Applied]]=TRUE,"discount applied","no discount")</f>
        <v>discount applied</v>
      </c>
    </row>
    <row r="691" spans="1:17" x14ac:dyDescent="0.3">
      <c r="A691">
        <v>1000000689</v>
      </c>
      <c r="B691" s="1">
        <v>44828.269918981481</v>
      </c>
      <c r="C691" t="s">
        <v>1346</v>
      </c>
      <c r="D691" t="s">
        <v>1347</v>
      </c>
      <c r="E691">
        <v>4</v>
      </c>
      <c r="F691">
        <v>69.75</v>
      </c>
      <c r="G691" t="s">
        <v>15</v>
      </c>
      <c r="H691" t="s">
        <v>96</v>
      </c>
      <c r="I691" t="s">
        <v>25</v>
      </c>
      <c r="J691" t="b">
        <v>1</v>
      </c>
      <c r="K691" t="s">
        <v>80</v>
      </c>
      <c r="L691" t="s">
        <v>19</v>
      </c>
      <c r="M691" t="s">
        <v>43</v>
      </c>
      <c r="N691">
        <f>YEAR(Table1[[#This Row],[Date]])</f>
        <v>2022</v>
      </c>
      <c r="O691" t="str">
        <f>TEXT(Table1[[#This Row],[Date]],"mmm")</f>
        <v>Sep</v>
      </c>
      <c r="P691" t="str">
        <f>IF(Table1[[#This Row],[Total_Cost]]&lt;25,"low",IF(Table1[[#This Row],[Total_Cost]]&lt;60,"medium","high"))</f>
        <v>high</v>
      </c>
      <c r="Q691" t="str">
        <f>IF(Table1[[#This Row],[Discount_Applied]]=TRUE,"discount applied","no discount")</f>
        <v>discount applied</v>
      </c>
    </row>
    <row r="692" spans="1:17" x14ac:dyDescent="0.3">
      <c r="A692">
        <v>1000000690</v>
      </c>
      <c r="B692" s="1">
        <v>43881.358391203707</v>
      </c>
      <c r="C692" t="s">
        <v>1348</v>
      </c>
      <c r="D692" t="s">
        <v>1349</v>
      </c>
      <c r="E692">
        <v>2</v>
      </c>
      <c r="F692">
        <v>56.31</v>
      </c>
      <c r="G692" t="s">
        <v>15</v>
      </c>
      <c r="H692" t="s">
        <v>36</v>
      </c>
      <c r="I692" t="s">
        <v>59</v>
      </c>
      <c r="J692" t="b">
        <v>0</v>
      </c>
      <c r="K692" t="s">
        <v>80</v>
      </c>
      <c r="L692" t="s">
        <v>19</v>
      </c>
      <c r="M692" t="s">
        <v>43</v>
      </c>
      <c r="N692">
        <f>YEAR(Table1[[#This Row],[Date]])</f>
        <v>2020</v>
      </c>
      <c r="O692" t="str">
        <f>TEXT(Table1[[#This Row],[Date]],"mmm")</f>
        <v>Feb</v>
      </c>
      <c r="P692" t="str">
        <f>IF(Table1[[#This Row],[Total_Cost]]&lt;25,"low",IF(Table1[[#This Row],[Total_Cost]]&lt;60,"medium","high"))</f>
        <v>medium</v>
      </c>
      <c r="Q692" t="str">
        <f>IF(Table1[[#This Row],[Discount_Applied]]=TRUE,"discount applied","no discount")</f>
        <v>no discount</v>
      </c>
    </row>
    <row r="693" spans="1:17" x14ac:dyDescent="0.3">
      <c r="A693">
        <v>1000000691</v>
      </c>
      <c r="B693" s="1">
        <v>44590.589143518519</v>
      </c>
      <c r="C693" t="s">
        <v>1350</v>
      </c>
      <c r="D693" t="s">
        <v>992</v>
      </c>
      <c r="E693">
        <v>5</v>
      </c>
      <c r="F693">
        <v>74.33</v>
      </c>
      <c r="G693" t="s">
        <v>31</v>
      </c>
      <c r="H693" t="s">
        <v>36</v>
      </c>
      <c r="I693" t="s">
        <v>17</v>
      </c>
      <c r="J693" t="b">
        <v>1</v>
      </c>
      <c r="K693" t="s">
        <v>62</v>
      </c>
      <c r="L693" t="s">
        <v>38</v>
      </c>
      <c r="M693" t="s">
        <v>20</v>
      </c>
      <c r="N693">
        <f>YEAR(Table1[[#This Row],[Date]])</f>
        <v>2022</v>
      </c>
      <c r="O693" t="str">
        <f>TEXT(Table1[[#This Row],[Date]],"mmm")</f>
        <v>Jan</v>
      </c>
      <c r="P693" t="str">
        <f>IF(Table1[[#This Row],[Total_Cost]]&lt;25,"low",IF(Table1[[#This Row],[Total_Cost]]&lt;60,"medium","high"))</f>
        <v>high</v>
      </c>
      <c r="Q693" t="str">
        <f>IF(Table1[[#This Row],[Discount_Applied]]=TRUE,"discount applied","no discount")</f>
        <v>discount applied</v>
      </c>
    </row>
    <row r="694" spans="1:17" x14ac:dyDescent="0.3">
      <c r="A694">
        <v>1000000692</v>
      </c>
      <c r="B694" s="1">
        <v>43912.399351851855</v>
      </c>
      <c r="C694" t="s">
        <v>1351</v>
      </c>
      <c r="D694" t="s">
        <v>1352</v>
      </c>
      <c r="E694">
        <v>7</v>
      </c>
      <c r="F694">
        <v>14.67</v>
      </c>
      <c r="G694" t="s">
        <v>41</v>
      </c>
      <c r="H694" t="s">
        <v>16</v>
      </c>
      <c r="I694" t="s">
        <v>33</v>
      </c>
      <c r="J694" t="b">
        <v>1</v>
      </c>
      <c r="K694" t="s">
        <v>80</v>
      </c>
      <c r="L694" t="s">
        <v>38</v>
      </c>
      <c r="M694" t="s">
        <v>43</v>
      </c>
      <c r="N694">
        <f>YEAR(Table1[[#This Row],[Date]])</f>
        <v>2020</v>
      </c>
      <c r="O694" t="str">
        <f>TEXT(Table1[[#This Row],[Date]],"mmm")</f>
        <v>Mar</v>
      </c>
      <c r="P694" t="str">
        <f>IF(Table1[[#This Row],[Total_Cost]]&lt;25,"low",IF(Table1[[#This Row],[Total_Cost]]&lt;60,"medium","high"))</f>
        <v>low</v>
      </c>
      <c r="Q694" t="str">
        <f>IF(Table1[[#This Row],[Discount_Applied]]=TRUE,"discount applied","no discount")</f>
        <v>discount applied</v>
      </c>
    </row>
    <row r="695" spans="1:17" x14ac:dyDescent="0.3">
      <c r="A695">
        <v>1000000693</v>
      </c>
      <c r="B695" s="1">
        <v>44262.260046296295</v>
      </c>
      <c r="C695" t="s">
        <v>1353</v>
      </c>
      <c r="D695" t="s">
        <v>338</v>
      </c>
      <c r="E695">
        <v>10</v>
      </c>
      <c r="F695">
        <v>33.32</v>
      </c>
      <c r="G695" t="s">
        <v>41</v>
      </c>
      <c r="H695" t="s">
        <v>96</v>
      </c>
      <c r="I695" t="s">
        <v>46</v>
      </c>
      <c r="J695" t="b">
        <v>1</v>
      </c>
      <c r="K695" t="s">
        <v>42</v>
      </c>
      <c r="L695" t="s">
        <v>38</v>
      </c>
      <c r="M695" t="s">
        <v>43</v>
      </c>
      <c r="N695">
        <f>YEAR(Table1[[#This Row],[Date]])</f>
        <v>2021</v>
      </c>
      <c r="O695" t="str">
        <f>TEXT(Table1[[#This Row],[Date]],"mmm")</f>
        <v>Mar</v>
      </c>
      <c r="P695" t="str">
        <f>IF(Table1[[#This Row],[Total_Cost]]&lt;25,"low",IF(Table1[[#This Row],[Total_Cost]]&lt;60,"medium","high"))</f>
        <v>medium</v>
      </c>
      <c r="Q695" t="str">
        <f>IF(Table1[[#This Row],[Discount_Applied]]=TRUE,"discount applied","no discount")</f>
        <v>discount applied</v>
      </c>
    </row>
    <row r="696" spans="1:17" x14ac:dyDescent="0.3">
      <c r="A696">
        <v>1000000694</v>
      </c>
      <c r="B696" s="1">
        <v>44016.989363425928</v>
      </c>
      <c r="C696" t="s">
        <v>1354</v>
      </c>
      <c r="D696" t="s">
        <v>1355</v>
      </c>
      <c r="E696">
        <v>5</v>
      </c>
      <c r="F696">
        <v>19.36</v>
      </c>
      <c r="G696" t="s">
        <v>31</v>
      </c>
      <c r="H696" t="s">
        <v>77</v>
      </c>
      <c r="I696" t="s">
        <v>59</v>
      </c>
      <c r="J696" t="b">
        <v>1</v>
      </c>
      <c r="K696" t="s">
        <v>42</v>
      </c>
      <c r="L696" t="s">
        <v>38</v>
      </c>
      <c r="M696" t="s">
        <v>28</v>
      </c>
      <c r="N696">
        <f>YEAR(Table1[[#This Row],[Date]])</f>
        <v>2020</v>
      </c>
      <c r="O696" t="str">
        <f>TEXT(Table1[[#This Row],[Date]],"mmm")</f>
        <v>Jul</v>
      </c>
      <c r="P696" t="str">
        <f>IF(Table1[[#This Row],[Total_Cost]]&lt;25,"low",IF(Table1[[#This Row],[Total_Cost]]&lt;60,"medium","high"))</f>
        <v>low</v>
      </c>
      <c r="Q696" t="str">
        <f>IF(Table1[[#This Row],[Discount_Applied]]=TRUE,"discount applied","no discount")</f>
        <v>discount applied</v>
      </c>
    </row>
    <row r="697" spans="1:17" x14ac:dyDescent="0.3">
      <c r="A697">
        <v>1000000695</v>
      </c>
      <c r="B697" s="1">
        <v>45364.890914351854</v>
      </c>
      <c r="C697" t="s">
        <v>1356</v>
      </c>
      <c r="D697" t="s">
        <v>1357</v>
      </c>
      <c r="E697">
        <v>1</v>
      </c>
      <c r="F697">
        <v>61.12</v>
      </c>
      <c r="G697" t="s">
        <v>23</v>
      </c>
      <c r="H697" t="s">
        <v>96</v>
      </c>
      <c r="I697" t="s">
        <v>33</v>
      </c>
      <c r="J697" t="b">
        <v>1</v>
      </c>
      <c r="K697" t="s">
        <v>47</v>
      </c>
      <c r="L697" t="s">
        <v>38</v>
      </c>
      <c r="M697" t="s">
        <v>43</v>
      </c>
      <c r="N697">
        <f>YEAR(Table1[[#This Row],[Date]])</f>
        <v>2024</v>
      </c>
      <c r="O697" t="str">
        <f>TEXT(Table1[[#This Row],[Date]],"mmm")</f>
        <v>Mar</v>
      </c>
      <c r="P697" t="str">
        <f>IF(Table1[[#This Row],[Total_Cost]]&lt;25,"low",IF(Table1[[#This Row],[Total_Cost]]&lt;60,"medium","high"))</f>
        <v>high</v>
      </c>
      <c r="Q697" t="str">
        <f>IF(Table1[[#This Row],[Discount_Applied]]=TRUE,"discount applied","no discount")</f>
        <v>discount applied</v>
      </c>
    </row>
    <row r="698" spans="1:17" x14ac:dyDescent="0.3">
      <c r="A698">
        <v>1000000696</v>
      </c>
      <c r="B698" s="1">
        <v>44794.547638888886</v>
      </c>
      <c r="C698" t="s">
        <v>1358</v>
      </c>
      <c r="D698" t="s">
        <v>1359</v>
      </c>
      <c r="E698">
        <v>9</v>
      </c>
      <c r="F698">
        <v>39.880000000000003</v>
      </c>
      <c r="G698" t="s">
        <v>31</v>
      </c>
      <c r="H698" t="s">
        <v>77</v>
      </c>
      <c r="I698" t="s">
        <v>33</v>
      </c>
      <c r="J698" t="b">
        <v>0</v>
      </c>
      <c r="K698" t="s">
        <v>51</v>
      </c>
      <c r="L698" t="s">
        <v>52</v>
      </c>
      <c r="M698" t="s">
        <v>43</v>
      </c>
      <c r="N698">
        <f>YEAR(Table1[[#This Row],[Date]])</f>
        <v>2022</v>
      </c>
      <c r="O698" t="str">
        <f>TEXT(Table1[[#This Row],[Date]],"mmm")</f>
        <v>Aug</v>
      </c>
      <c r="P698" t="str">
        <f>IF(Table1[[#This Row],[Total_Cost]]&lt;25,"low",IF(Table1[[#This Row],[Total_Cost]]&lt;60,"medium","high"))</f>
        <v>medium</v>
      </c>
      <c r="Q698" t="str">
        <f>IF(Table1[[#This Row],[Discount_Applied]]=TRUE,"discount applied","no discount")</f>
        <v>no discount</v>
      </c>
    </row>
    <row r="699" spans="1:17" x14ac:dyDescent="0.3">
      <c r="A699">
        <v>1000000697</v>
      </c>
      <c r="B699" s="1">
        <v>44342.997349537036</v>
      </c>
      <c r="C699" t="s">
        <v>1360</v>
      </c>
      <c r="D699" t="s">
        <v>1361</v>
      </c>
      <c r="E699">
        <v>1</v>
      </c>
      <c r="F699">
        <v>16.170000000000002</v>
      </c>
      <c r="G699" t="s">
        <v>31</v>
      </c>
      <c r="H699" t="s">
        <v>96</v>
      </c>
      <c r="I699" t="s">
        <v>17</v>
      </c>
      <c r="J699" t="b">
        <v>0</v>
      </c>
      <c r="K699" t="s">
        <v>87</v>
      </c>
      <c r="L699" t="s">
        <v>52</v>
      </c>
      <c r="M699" t="s">
        <v>28</v>
      </c>
      <c r="N699">
        <f>YEAR(Table1[[#This Row],[Date]])</f>
        <v>2021</v>
      </c>
      <c r="O699" t="str">
        <f>TEXT(Table1[[#This Row],[Date]],"mmm")</f>
        <v>May</v>
      </c>
      <c r="P699" t="str">
        <f>IF(Table1[[#This Row],[Total_Cost]]&lt;25,"low",IF(Table1[[#This Row],[Total_Cost]]&lt;60,"medium","high"))</f>
        <v>low</v>
      </c>
      <c r="Q699" t="str">
        <f>IF(Table1[[#This Row],[Discount_Applied]]=TRUE,"discount applied","no discount")</f>
        <v>no discount</v>
      </c>
    </row>
    <row r="700" spans="1:17" x14ac:dyDescent="0.3">
      <c r="A700">
        <v>1000000698</v>
      </c>
      <c r="B700" s="1">
        <v>44206.684050925927</v>
      </c>
      <c r="C700" t="s">
        <v>1362</v>
      </c>
      <c r="D700" t="s">
        <v>1363</v>
      </c>
      <c r="E700">
        <v>4</v>
      </c>
      <c r="F700">
        <v>82.8</v>
      </c>
      <c r="G700" t="s">
        <v>23</v>
      </c>
      <c r="H700" t="s">
        <v>70</v>
      </c>
      <c r="I700" t="s">
        <v>59</v>
      </c>
      <c r="J700" t="b">
        <v>0</v>
      </c>
      <c r="K700" t="s">
        <v>47</v>
      </c>
      <c r="L700" t="s">
        <v>19</v>
      </c>
      <c r="M700" t="s">
        <v>43</v>
      </c>
      <c r="N700">
        <f>YEAR(Table1[[#This Row],[Date]])</f>
        <v>2021</v>
      </c>
      <c r="O700" t="str">
        <f>TEXT(Table1[[#This Row],[Date]],"mmm")</f>
        <v>Jan</v>
      </c>
      <c r="P700" t="str">
        <f>IF(Table1[[#This Row],[Total_Cost]]&lt;25,"low",IF(Table1[[#This Row],[Total_Cost]]&lt;60,"medium","high"))</f>
        <v>high</v>
      </c>
      <c r="Q700" t="str">
        <f>IF(Table1[[#This Row],[Discount_Applied]]=TRUE,"discount applied","no discount")</f>
        <v>no discount</v>
      </c>
    </row>
    <row r="701" spans="1:17" x14ac:dyDescent="0.3">
      <c r="A701">
        <v>1000000699</v>
      </c>
      <c r="B701" s="1">
        <v>44372.445902777778</v>
      </c>
      <c r="C701" t="s">
        <v>1364</v>
      </c>
      <c r="D701" t="s">
        <v>1365</v>
      </c>
      <c r="E701">
        <v>4</v>
      </c>
      <c r="F701">
        <v>94.09</v>
      </c>
      <c r="G701" t="s">
        <v>23</v>
      </c>
      <c r="H701" t="s">
        <v>32</v>
      </c>
      <c r="I701" t="s">
        <v>25</v>
      </c>
      <c r="J701" t="b">
        <v>1</v>
      </c>
      <c r="K701" t="s">
        <v>62</v>
      </c>
      <c r="L701" t="s">
        <v>27</v>
      </c>
      <c r="M701" t="s">
        <v>43</v>
      </c>
      <c r="N701">
        <f>YEAR(Table1[[#This Row],[Date]])</f>
        <v>2021</v>
      </c>
      <c r="O701" t="str">
        <f>TEXT(Table1[[#This Row],[Date]],"mmm")</f>
        <v>Jun</v>
      </c>
      <c r="P701" t="str">
        <f>IF(Table1[[#This Row],[Total_Cost]]&lt;25,"low",IF(Table1[[#This Row],[Total_Cost]]&lt;60,"medium","high"))</f>
        <v>high</v>
      </c>
      <c r="Q701" t="str">
        <f>IF(Table1[[#This Row],[Discount_Applied]]=TRUE,"discount applied","no discount")</f>
        <v>discount applied</v>
      </c>
    </row>
    <row r="702" spans="1:17" x14ac:dyDescent="0.3">
      <c r="A702">
        <v>1000000700</v>
      </c>
      <c r="B702" s="1">
        <v>45320.493125000001</v>
      </c>
      <c r="C702" t="s">
        <v>1366</v>
      </c>
      <c r="D702" t="s">
        <v>759</v>
      </c>
      <c r="E702">
        <v>9</v>
      </c>
      <c r="F702">
        <v>95.99</v>
      </c>
      <c r="G702" t="s">
        <v>23</v>
      </c>
      <c r="H702" t="s">
        <v>36</v>
      </c>
      <c r="I702" t="s">
        <v>46</v>
      </c>
      <c r="J702" t="b">
        <v>1</v>
      </c>
      <c r="K702" t="s">
        <v>51</v>
      </c>
      <c r="L702" t="s">
        <v>19</v>
      </c>
      <c r="M702" t="s">
        <v>43</v>
      </c>
      <c r="N702">
        <f>YEAR(Table1[[#This Row],[Date]])</f>
        <v>2024</v>
      </c>
      <c r="O702" t="str">
        <f>TEXT(Table1[[#This Row],[Date]],"mmm")</f>
        <v>Jan</v>
      </c>
      <c r="P702" t="str">
        <f>IF(Table1[[#This Row],[Total_Cost]]&lt;25,"low",IF(Table1[[#This Row],[Total_Cost]]&lt;60,"medium","high"))</f>
        <v>high</v>
      </c>
      <c r="Q702" t="str">
        <f>IF(Table1[[#This Row],[Discount_Applied]]=TRUE,"discount applied","no discount")</f>
        <v>discount applied</v>
      </c>
    </row>
    <row r="703" spans="1:17" x14ac:dyDescent="0.3">
      <c r="A703">
        <v>1000000701</v>
      </c>
      <c r="B703" s="1">
        <v>45092.123865740738</v>
      </c>
      <c r="C703" t="s">
        <v>1367</v>
      </c>
      <c r="D703" t="s">
        <v>828</v>
      </c>
      <c r="E703">
        <v>9</v>
      </c>
      <c r="F703">
        <v>38.47</v>
      </c>
      <c r="G703" t="s">
        <v>23</v>
      </c>
      <c r="H703" t="s">
        <v>24</v>
      </c>
      <c r="I703" t="s">
        <v>33</v>
      </c>
      <c r="J703" t="b">
        <v>1</v>
      </c>
      <c r="K703" t="s">
        <v>47</v>
      </c>
      <c r="L703" t="s">
        <v>27</v>
      </c>
      <c r="M703" t="s">
        <v>43</v>
      </c>
      <c r="N703">
        <f>YEAR(Table1[[#This Row],[Date]])</f>
        <v>2023</v>
      </c>
      <c r="O703" t="str">
        <f>TEXT(Table1[[#This Row],[Date]],"mmm")</f>
        <v>Jun</v>
      </c>
      <c r="P703" t="str">
        <f>IF(Table1[[#This Row],[Total_Cost]]&lt;25,"low",IF(Table1[[#This Row],[Total_Cost]]&lt;60,"medium","high"))</f>
        <v>medium</v>
      </c>
      <c r="Q703" t="str">
        <f>IF(Table1[[#This Row],[Discount_Applied]]=TRUE,"discount applied","no discount")</f>
        <v>discount applied</v>
      </c>
    </row>
    <row r="704" spans="1:17" x14ac:dyDescent="0.3">
      <c r="A704">
        <v>1000000702</v>
      </c>
      <c r="B704" s="1">
        <v>44760.526458333334</v>
      </c>
      <c r="C704" t="s">
        <v>1368</v>
      </c>
      <c r="D704" t="s">
        <v>487</v>
      </c>
      <c r="E704">
        <v>6</v>
      </c>
      <c r="F704">
        <v>31.93</v>
      </c>
      <c r="G704" t="s">
        <v>15</v>
      </c>
      <c r="H704" t="s">
        <v>65</v>
      </c>
      <c r="I704" t="s">
        <v>17</v>
      </c>
      <c r="J704" t="b">
        <v>0</v>
      </c>
      <c r="K704" t="s">
        <v>42</v>
      </c>
      <c r="L704" t="s">
        <v>52</v>
      </c>
      <c r="M704" t="s">
        <v>20</v>
      </c>
      <c r="N704">
        <f>YEAR(Table1[[#This Row],[Date]])</f>
        <v>2022</v>
      </c>
      <c r="O704" t="str">
        <f>TEXT(Table1[[#This Row],[Date]],"mmm")</f>
        <v>Jul</v>
      </c>
      <c r="P704" t="str">
        <f>IF(Table1[[#This Row],[Total_Cost]]&lt;25,"low",IF(Table1[[#This Row],[Total_Cost]]&lt;60,"medium","high"))</f>
        <v>medium</v>
      </c>
      <c r="Q704" t="str">
        <f>IF(Table1[[#This Row],[Discount_Applied]]=TRUE,"discount applied","no discount")</f>
        <v>no discount</v>
      </c>
    </row>
    <row r="705" spans="1:17" x14ac:dyDescent="0.3">
      <c r="A705">
        <v>1000000703</v>
      </c>
      <c r="B705" s="1">
        <v>44325.032384259262</v>
      </c>
      <c r="C705" t="s">
        <v>1369</v>
      </c>
      <c r="D705" t="s">
        <v>1370</v>
      </c>
      <c r="E705">
        <v>6</v>
      </c>
      <c r="F705">
        <v>69.88</v>
      </c>
      <c r="G705" t="s">
        <v>31</v>
      </c>
      <c r="H705" t="s">
        <v>32</v>
      </c>
      <c r="I705" t="s">
        <v>59</v>
      </c>
      <c r="J705" t="b">
        <v>1</v>
      </c>
      <c r="K705" t="s">
        <v>18</v>
      </c>
      <c r="L705" t="s">
        <v>38</v>
      </c>
      <c r="M705" t="s">
        <v>28</v>
      </c>
      <c r="N705">
        <f>YEAR(Table1[[#This Row],[Date]])</f>
        <v>2021</v>
      </c>
      <c r="O705" t="str">
        <f>TEXT(Table1[[#This Row],[Date]],"mmm")</f>
        <v>May</v>
      </c>
      <c r="P705" t="str">
        <f>IF(Table1[[#This Row],[Total_Cost]]&lt;25,"low",IF(Table1[[#This Row],[Total_Cost]]&lt;60,"medium","high"))</f>
        <v>high</v>
      </c>
      <c r="Q705" t="str">
        <f>IF(Table1[[#This Row],[Discount_Applied]]=TRUE,"discount applied","no discount")</f>
        <v>discount applied</v>
      </c>
    </row>
    <row r="706" spans="1:17" x14ac:dyDescent="0.3">
      <c r="A706">
        <v>1000000704</v>
      </c>
      <c r="B706" s="1">
        <v>44943.703449074077</v>
      </c>
      <c r="C706" t="s">
        <v>1371</v>
      </c>
      <c r="D706" t="s">
        <v>1372</v>
      </c>
      <c r="E706">
        <v>10</v>
      </c>
      <c r="F706">
        <v>57.78</v>
      </c>
      <c r="G706" t="s">
        <v>23</v>
      </c>
      <c r="H706" t="s">
        <v>129</v>
      </c>
      <c r="I706" t="s">
        <v>17</v>
      </c>
      <c r="J706" t="b">
        <v>1</v>
      </c>
      <c r="K706" t="s">
        <v>80</v>
      </c>
      <c r="L706" t="s">
        <v>19</v>
      </c>
      <c r="M706" t="s">
        <v>28</v>
      </c>
      <c r="N706">
        <f>YEAR(Table1[[#This Row],[Date]])</f>
        <v>2023</v>
      </c>
      <c r="O706" t="str">
        <f>TEXT(Table1[[#This Row],[Date]],"mmm")</f>
        <v>Jan</v>
      </c>
      <c r="P706" t="str">
        <f>IF(Table1[[#This Row],[Total_Cost]]&lt;25,"low",IF(Table1[[#This Row],[Total_Cost]]&lt;60,"medium","high"))</f>
        <v>medium</v>
      </c>
      <c r="Q706" t="str">
        <f>IF(Table1[[#This Row],[Discount_Applied]]=TRUE,"discount applied","no discount")</f>
        <v>discount applied</v>
      </c>
    </row>
    <row r="707" spans="1:17" x14ac:dyDescent="0.3">
      <c r="A707">
        <v>1000000705</v>
      </c>
      <c r="B707" s="1">
        <v>44752.201157407406</v>
      </c>
      <c r="C707" t="s">
        <v>1373</v>
      </c>
      <c r="D707" t="s">
        <v>681</v>
      </c>
      <c r="E707">
        <v>10</v>
      </c>
      <c r="F707">
        <v>35.92</v>
      </c>
      <c r="G707" t="s">
        <v>31</v>
      </c>
      <c r="H707" t="s">
        <v>96</v>
      </c>
      <c r="I707" t="s">
        <v>59</v>
      </c>
      <c r="J707" t="b">
        <v>0</v>
      </c>
      <c r="K707" t="s">
        <v>42</v>
      </c>
      <c r="L707" t="s">
        <v>19</v>
      </c>
      <c r="M707" t="s">
        <v>20</v>
      </c>
      <c r="N707">
        <f>YEAR(Table1[[#This Row],[Date]])</f>
        <v>2022</v>
      </c>
      <c r="O707" t="str">
        <f>TEXT(Table1[[#This Row],[Date]],"mmm")</f>
        <v>Jul</v>
      </c>
      <c r="P707" t="str">
        <f>IF(Table1[[#This Row],[Total_Cost]]&lt;25,"low",IF(Table1[[#This Row],[Total_Cost]]&lt;60,"medium","high"))</f>
        <v>medium</v>
      </c>
      <c r="Q707" t="str">
        <f>IF(Table1[[#This Row],[Discount_Applied]]=TRUE,"discount applied","no discount")</f>
        <v>no discount</v>
      </c>
    </row>
    <row r="708" spans="1:17" x14ac:dyDescent="0.3">
      <c r="A708">
        <v>1000000706</v>
      </c>
      <c r="B708" s="1">
        <v>43841.998229166667</v>
      </c>
      <c r="C708" t="s">
        <v>1374</v>
      </c>
      <c r="D708" t="s">
        <v>1375</v>
      </c>
      <c r="E708">
        <v>5</v>
      </c>
      <c r="F708">
        <v>48.55</v>
      </c>
      <c r="G708" t="s">
        <v>15</v>
      </c>
      <c r="H708" t="s">
        <v>77</v>
      </c>
      <c r="I708" t="s">
        <v>59</v>
      </c>
      <c r="J708" t="b">
        <v>0</v>
      </c>
      <c r="K708" t="s">
        <v>47</v>
      </c>
      <c r="L708" t="s">
        <v>19</v>
      </c>
      <c r="M708" t="s">
        <v>28</v>
      </c>
      <c r="N708">
        <f>YEAR(Table1[[#This Row],[Date]])</f>
        <v>2020</v>
      </c>
      <c r="O708" t="str">
        <f>TEXT(Table1[[#This Row],[Date]],"mmm")</f>
        <v>Jan</v>
      </c>
      <c r="P708" t="str">
        <f>IF(Table1[[#This Row],[Total_Cost]]&lt;25,"low",IF(Table1[[#This Row],[Total_Cost]]&lt;60,"medium","high"))</f>
        <v>medium</v>
      </c>
      <c r="Q708" t="str">
        <f>IF(Table1[[#This Row],[Discount_Applied]]=TRUE,"discount applied","no discount")</f>
        <v>no discount</v>
      </c>
    </row>
    <row r="709" spans="1:17" x14ac:dyDescent="0.3">
      <c r="A709">
        <v>1000000707</v>
      </c>
      <c r="B709" s="1">
        <v>44962.466238425928</v>
      </c>
      <c r="C709" t="s">
        <v>1376</v>
      </c>
      <c r="D709" t="s">
        <v>1377</v>
      </c>
      <c r="E709">
        <v>3</v>
      </c>
      <c r="F709">
        <v>32.46</v>
      </c>
      <c r="G709" t="s">
        <v>31</v>
      </c>
      <c r="H709" t="s">
        <v>77</v>
      </c>
      <c r="I709" t="s">
        <v>25</v>
      </c>
      <c r="J709" t="b">
        <v>0</v>
      </c>
      <c r="K709" t="s">
        <v>80</v>
      </c>
      <c r="L709" t="s">
        <v>19</v>
      </c>
      <c r="M709" t="s">
        <v>43</v>
      </c>
      <c r="N709">
        <f>YEAR(Table1[[#This Row],[Date]])</f>
        <v>2023</v>
      </c>
      <c r="O709" t="str">
        <f>TEXT(Table1[[#This Row],[Date]],"mmm")</f>
        <v>Feb</v>
      </c>
      <c r="P709" t="str">
        <f>IF(Table1[[#This Row],[Total_Cost]]&lt;25,"low",IF(Table1[[#This Row],[Total_Cost]]&lt;60,"medium","high"))</f>
        <v>medium</v>
      </c>
      <c r="Q709" t="str">
        <f>IF(Table1[[#This Row],[Discount_Applied]]=TRUE,"discount applied","no discount")</f>
        <v>no discount</v>
      </c>
    </row>
    <row r="710" spans="1:17" x14ac:dyDescent="0.3">
      <c r="A710">
        <v>1000000708</v>
      </c>
      <c r="B710" s="1">
        <v>44379.746192129627</v>
      </c>
      <c r="C710" t="s">
        <v>1378</v>
      </c>
      <c r="D710" t="s">
        <v>1379</v>
      </c>
      <c r="E710">
        <v>3</v>
      </c>
      <c r="F710">
        <v>11.33</v>
      </c>
      <c r="G710" t="s">
        <v>23</v>
      </c>
      <c r="H710" t="s">
        <v>50</v>
      </c>
      <c r="I710" t="s">
        <v>17</v>
      </c>
      <c r="J710" t="b">
        <v>1</v>
      </c>
      <c r="K710" t="s">
        <v>47</v>
      </c>
      <c r="L710" t="s">
        <v>19</v>
      </c>
      <c r="M710" t="s">
        <v>43</v>
      </c>
      <c r="N710">
        <f>YEAR(Table1[[#This Row],[Date]])</f>
        <v>2021</v>
      </c>
      <c r="O710" t="str">
        <f>TEXT(Table1[[#This Row],[Date]],"mmm")</f>
        <v>Jul</v>
      </c>
      <c r="P710" t="str">
        <f>IF(Table1[[#This Row],[Total_Cost]]&lt;25,"low",IF(Table1[[#This Row],[Total_Cost]]&lt;60,"medium","high"))</f>
        <v>low</v>
      </c>
      <c r="Q710" t="str">
        <f>IF(Table1[[#This Row],[Discount_Applied]]=TRUE,"discount applied","no discount")</f>
        <v>discount applied</v>
      </c>
    </row>
    <row r="711" spans="1:17" x14ac:dyDescent="0.3">
      <c r="A711">
        <v>1000000709</v>
      </c>
      <c r="B711" s="1">
        <v>44535.612766203703</v>
      </c>
      <c r="C711" t="s">
        <v>1380</v>
      </c>
      <c r="D711" t="s">
        <v>1381</v>
      </c>
      <c r="E711">
        <v>10</v>
      </c>
      <c r="F711">
        <v>57.84</v>
      </c>
      <c r="G711" t="s">
        <v>15</v>
      </c>
      <c r="H711" t="s">
        <v>32</v>
      </c>
      <c r="I711" t="s">
        <v>25</v>
      </c>
      <c r="J711" t="b">
        <v>1</v>
      </c>
      <c r="K711" t="s">
        <v>42</v>
      </c>
      <c r="L711" t="s">
        <v>38</v>
      </c>
      <c r="M711" t="s">
        <v>28</v>
      </c>
      <c r="N711">
        <f>YEAR(Table1[[#This Row],[Date]])</f>
        <v>2021</v>
      </c>
      <c r="O711" t="str">
        <f>TEXT(Table1[[#This Row],[Date]],"mmm")</f>
        <v>Dec</v>
      </c>
      <c r="P711" t="str">
        <f>IF(Table1[[#This Row],[Total_Cost]]&lt;25,"low",IF(Table1[[#This Row],[Total_Cost]]&lt;60,"medium","high"))</f>
        <v>medium</v>
      </c>
      <c r="Q711" t="str">
        <f>IF(Table1[[#This Row],[Discount_Applied]]=TRUE,"discount applied","no discount")</f>
        <v>discount applied</v>
      </c>
    </row>
    <row r="712" spans="1:17" x14ac:dyDescent="0.3">
      <c r="A712">
        <v>1000000710</v>
      </c>
      <c r="B712" s="1">
        <v>44959.840416666666</v>
      </c>
      <c r="C712" t="s">
        <v>1382</v>
      </c>
      <c r="D712" t="s">
        <v>1383</v>
      </c>
      <c r="E712">
        <v>4</v>
      </c>
      <c r="F712">
        <v>35.26</v>
      </c>
      <c r="G712" t="s">
        <v>41</v>
      </c>
      <c r="H712" t="s">
        <v>32</v>
      </c>
      <c r="I712" t="s">
        <v>33</v>
      </c>
      <c r="J712" t="b">
        <v>0</v>
      </c>
      <c r="K712" t="s">
        <v>26</v>
      </c>
      <c r="L712" t="s">
        <v>27</v>
      </c>
      <c r="M712" t="s">
        <v>20</v>
      </c>
      <c r="N712">
        <f>YEAR(Table1[[#This Row],[Date]])</f>
        <v>2023</v>
      </c>
      <c r="O712" t="str">
        <f>TEXT(Table1[[#This Row],[Date]],"mmm")</f>
        <v>Feb</v>
      </c>
      <c r="P712" t="str">
        <f>IF(Table1[[#This Row],[Total_Cost]]&lt;25,"low",IF(Table1[[#This Row],[Total_Cost]]&lt;60,"medium","high"))</f>
        <v>medium</v>
      </c>
      <c r="Q712" t="str">
        <f>IF(Table1[[#This Row],[Discount_Applied]]=TRUE,"discount applied","no discount")</f>
        <v>no discount</v>
      </c>
    </row>
    <row r="713" spans="1:17" x14ac:dyDescent="0.3">
      <c r="A713">
        <v>1000000711</v>
      </c>
      <c r="B713" s="1">
        <v>44775.492777777778</v>
      </c>
      <c r="C713" t="s">
        <v>1384</v>
      </c>
      <c r="D713" t="s">
        <v>1385</v>
      </c>
      <c r="E713">
        <v>10</v>
      </c>
      <c r="F713">
        <v>56.9</v>
      </c>
      <c r="G713" t="s">
        <v>41</v>
      </c>
      <c r="H713" t="s">
        <v>96</v>
      </c>
      <c r="I713" t="s">
        <v>33</v>
      </c>
      <c r="J713" t="b">
        <v>1</v>
      </c>
      <c r="K713" t="s">
        <v>51</v>
      </c>
      <c r="L713" t="s">
        <v>38</v>
      </c>
      <c r="M713" t="s">
        <v>20</v>
      </c>
      <c r="N713">
        <f>YEAR(Table1[[#This Row],[Date]])</f>
        <v>2022</v>
      </c>
      <c r="O713" t="str">
        <f>TEXT(Table1[[#This Row],[Date]],"mmm")</f>
        <v>Aug</v>
      </c>
      <c r="P713" t="str">
        <f>IF(Table1[[#This Row],[Total_Cost]]&lt;25,"low",IF(Table1[[#This Row],[Total_Cost]]&lt;60,"medium","high"))</f>
        <v>medium</v>
      </c>
      <c r="Q713" t="str">
        <f>IF(Table1[[#This Row],[Discount_Applied]]=TRUE,"discount applied","no discount")</f>
        <v>discount applied</v>
      </c>
    </row>
    <row r="714" spans="1:17" x14ac:dyDescent="0.3">
      <c r="A714">
        <v>1000000712</v>
      </c>
      <c r="B714" s="1">
        <v>44018.831030092595</v>
      </c>
      <c r="C714" t="s">
        <v>1386</v>
      </c>
      <c r="D714" t="s">
        <v>1387</v>
      </c>
      <c r="E714">
        <v>5</v>
      </c>
      <c r="F714">
        <v>27.08</v>
      </c>
      <c r="G714" t="s">
        <v>23</v>
      </c>
      <c r="H714" t="s">
        <v>32</v>
      </c>
      <c r="I714" t="s">
        <v>25</v>
      </c>
      <c r="J714" t="b">
        <v>1</v>
      </c>
      <c r="K714" t="s">
        <v>87</v>
      </c>
      <c r="L714" t="s">
        <v>52</v>
      </c>
      <c r="M714" t="s">
        <v>20</v>
      </c>
      <c r="N714">
        <f>YEAR(Table1[[#This Row],[Date]])</f>
        <v>2020</v>
      </c>
      <c r="O714" t="str">
        <f>TEXT(Table1[[#This Row],[Date]],"mmm")</f>
        <v>Jul</v>
      </c>
      <c r="P714" t="str">
        <f>IF(Table1[[#This Row],[Total_Cost]]&lt;25,"low",IF(Table1[[#This Row],[Total_Cost]]&lt;60,"medium","high"))</f>
        <v>medium</v>
      </c>
      <c r="Q714" t="str">
        <f>IF(Table1[[#This Row],[Discount_Applied]]=TRUE,"discount applied","no discount")</f>
        <v>discount applied</v>
      </c>
    </row>
    <row r="715" spans="1:17" x14ac:dyDescent="0.3">
      <c r="A715">
        <v>1000000713</v>
      </c>
      <c r="B715" s="1">
        <v>44567.231006944443</v>
      </c>
      <c r="C715" t="s">
        <v>1388</v>
      </c>
      <c r="D715" t="s">
        <v>1389</v>
      </c>
      <c r="E715">
        <v>9</v>
      </c>
      <c r="F715">
        <v>34.659999999999997</v>
      </c>
      <c r="G715" t="s">
        <v>23</v>
      </c>
      <c r="H715" t="s">
        <v>36</v>
      </c>
      <c r="I715" t="s">
        <v>59</v>
      </c>
      <c r="J715" t="b">
        <v>0</v>
      </c>
      <c r="K715" t="s">
        <v>47</v>
      </c>
      <c r="L715" t="s">
        <v>19</v>
      </c>
      <c r="M715" t="s">
        <v>43</v>
      </c>
      <c r="N715">
        <f>YEAR(Table1[[#This Row],[Date]])</f>
        <v>2022</v>
      </c>
      <c r="O715" t="str">
        <f>TEXT(Table1[[#This Row],[Date]],"mmm")</f>
        <v>Jan</v>
      </c>
      <c r="P715" t="str">
        <f>IF(Table1[[#This Row],[Total_Cost]]&lt;25,"low",IF(Table1[[#This Row],[Total_Cost]]&lt;60,"medium","high"))</f>
        <v>medium</v>
      </c>
      <c r="Q715" t="str">
        <f>IF(Table1[[#This Row],[Discount_Applied]]=TRUE,"discount applied","no discount")</f>
        <v>no discount</v>
      </c>
    </row>
    <row r="716" spans="1:17" x14ac:dyDescent="0.3">
      <c r="A716">
        <v>1000000714</v>
      </c>
      <c r="B716" s="1">
        <v>44593.27207175926</v>
      </c>
      <c r="C716" t="s">
        <v>1390</v>
      </c>
      <c r="D716" t="s">
        <v>1391</v>
      </c>
      <c r="E716">
        <v>1</v>
      </c>
      <c r="F716">
        <v>17.899999999999999</v>
      </c>
      <c r="G716" t="s">
        <v>41</v>
      </c>
      <c r="H716" t="s">
        <v>24</v>
      </c>
      <c r="I716" t="s">
        <v>17</v>
      </c>
      <c r="J716" t="b">
        <v>1</v>
      </c>
      <c r="K716" t="s">
        <v>26</v>
      </c>
      <c r="L716" t="s">
        <v>52</v>
      </c>
      <c r="M716" t="s">
        <v>43</v>
      </c>
      <c r="N716">
        <f>YEAR(Table1[[#This Row],[Date]])</f>
        <v>2022</v>
      </c>
      <c r="O716" t="str">
        <f>TEXT(Table1[[#This Row],[Date]],"mmm")</f>
        <v>Feb</v>
      </c>
      <c r="P716" t="str">
        <f>IF(Table1[[#This Row],[Total_Cost]]&lt;25,"low",IF(Table1[[#This Row],[Total_Cost]]&lt;60,"medium","high"))</f>
        <v>low</v>
      </c>
      <c r="Q716" t="str">
        <f>IF(Table1[[#This Row],[Discount_Applied]]=TRUE,"discount applied","no discount")</f>
        <v>discount applied</v>
      </c>
    </row>
    <row r="717" spans="1:17" x14ac:dyDescent="0.3">
      <c r="A717">
        <v>1000000715</v>
      </c>
      <c r="B717" s="1">
        <v>44792.840671296297</v>
      </c>
      <c r="C717" t="s">
        <v>1392</v>
      </c>
      <c r="D717" t="s">
        <v>1393</v>
      </c>
      <c r="E717">
        <v>8</v>
      </c>
      <c r="F717">
        <v>93.12</v>
      </c>
      <c r="G717" t="s">
        <v>23</v>
      </c>
      <c r="H717" t="s">
        <v>24</v>
      </c>
      <c r="I717" t="s">
        <v>17</v>
      </c>
      <c r="J717" t="b">
        <v>1</v>
      </c>
      <c r="K717" t="s">
        <v>42</v>
      </c>
      <c r="L717" t="s">
        <v>27</v>
      </c>
      <c r="M717" t="s">
        <v>43</v>
      </c>
      <c r="N717">
        <f>YEAR(Table1[[#This Row],[Date]])</f>
        <v>2022</v>
      </c>
      <c r="O717" t="str">
        <f>TEXT(Table1[[#This Row],[Date]],"mmm")</f>
        <v>Aug</v>
      </c>
      <c r="P717" t="str">
        <f>IF(Table1[[#This Row],[Total_Cost]]&lt;25,"low",IF(Table1[[#This Row],[Total_Cost]]&lt;60,"medium","high"))</f>
        <v>high</v>
      </c>
      <c r="Q717" t="str">
        <f>IF(Table1[[#This Row],[Discount_Applied]]=TRUE,"discount applied","no discount")</f>
        <v>discount applied</v>
      </c>
    </row>
    <row r="718" spans="1:17" x14ac:dyDescent="0.3">
      <c r="A718">
        <v>1000000716</v>
      </c>
      <c r="B718" s="1">
        <v>44149.524837962963</v>
      </c>
      <c r="C718" t="s">
        <v>1394</v>
      </c>
      <c r="D718" t="s">
        <v>352</v>
      </c>
      <c r="E718">
        <v>2</v>
      </c>
      <c r="F718">
        <v>80.75</v>
      </c>
      <c r="G718" t="s">
        <v>41</v>
      </c>
      <c r="H718" t="s">
        <v>50</v>
      </c>
      <c r="I718" t="s">
        <v>25</v>
      </c>
      <c r="J718" t="b">
        <v>1</v>
      </c>
      <c r="K718" t="s">
        <v>18</v>
      </c>
      <c r="L718" t="s">
        <v>52</v>
      </c>
      <c r="M718" t="s">
        <v>20</v>
      </c>
      <c r="N718">
        <f>YEAR(Table1[[#This Row],[Date]])</f>
        <v>2020</v>
      </c>
      <c r="O718" t="str">
        <f>TEXT(Table1[[#This Row],[Date]],"mmm")</f>
        <v>Nov</v>
      </c>
      <c r="P718" t="str">
        <f>IF(Table1[[#This Row],[Total_Cost]]&lt;25,"low",IF(Table1[[#This Row],[Total_Cost]]&lt;60,"medium","high"))</f>
        <v>high</v>
      </c>
      <c r="Q718" t="str">
        <f>IF(Table1[[#This Row],[Discount_Applied]]=TRUE,"discount applied","no discount")</f>
        <v>discount applied</v>
      </c>
    </row>
    <row r="719" spans="1:17" x14ac:dyDescent="0.3">
      <c r="A719">
        <v>1000000717</v>
      </c>
      <c r="B719" s="1">
        <v>45245.44190972222</v>
      </c>
      <c r="C719" t="s">
        <v>1395</v>
      </c>
      <c r="D719" t="s">
        <v>1396</v>
      </c>
      <c r="E719">
        <v>7</v>
      </c>
      <c r="F719">
        <v>56.36</v>
      </c>
      <c r="G719" t="s">
        <v>23</v>
      </c>
      <c r="H719" t="s">
        <v>96</v>
      </c>
      <c r="I719" t="s">
        <v>59</v>
      </c>
      <c r="J719" t="b">
        <v>0</v>
      </c>
      <c r="K719" t="s">
        <v>26</v>
      </c>
      <c r="L719" t="s">
        <v>52</v>
      </c>
      <c r="M719" t="s">
        <v>28</v>
      </c>
      <c r="N719">
        <f>YEAR(Table1[[#This Row],[Date]])</f>
        <v>2023</v>
      </c>
      <c r="O719" t="str">
        <f>TEXT(Table1[[#This Row],[Date]],"mmm")</f>
        <v>Nov</v>
      </c>
      <c r="P719" t="str">
        <f>IF(Table1[[#This Row],[Total_Cost]]&lt;25,"low",IF(Table1[[#This Row],[Total_Cost]]&lt;60,"medium","high"))</f>
        <v>medium</v>
      </c>
      <c r="Q719" t="str">
        <f>IF(Table1[[#This Row],[Discount_Applied]]=TRUE,"discount applied","no discount")</f>
        <v>no discount</v>
      </c>
    </row>
    <row r="720" spans="1:17" x14ac:dyDescent="0.3">
      <c r="A720">
        <v>1000000718</v>
      </c>
      <c r="B720" s="1">
        <v>43953.871354166666</v>
      </c>
      <c r="C720" t="s">
        <v>1397</v>
      </c>
      <c r="D720" t="s">
        <v>1398</v>
      </c>
      <c r="E720">
        <v>8</v>
      </c>
      <c r="F720">
        <v>33.75</v>
      </c>
      <c r="G720" t="s">
        <v>41</v>
      </c>
      <c r="H720" t="s">
        <v>77</v>
      </c>
      <c r="I720" t="s">
        <v>46</v>
      </c>
      <c r="J720" t="b">
        <v>0</v>
      </c>
      <c r="K720" t="s">
        <v>62</v>
      </c>
      <c r="L720" t="s">
        <v>52</v>
      </c>
      <c r="M720" t="s">
        <v>43</v>
      </c>
      <c r="N720">
        <f>YEAR(Table1[[#This Row],[Date]])</f>
        <v>2020</v>
      </c>
      <c r="O720" t="str">
        <f>TEXT(Table1[[#This Row],[Date]],"mmm")</f>
        <v>May</v>
      </c>
      <c r="P720" t="str">
        <f>IF(Table1[[#This Row],[Total_Cost]]&lt;25,"low",IF(Table1[[#This Row],[Total_Cost]]&lt;60,"medium","high"))</f>
        <v>medium</v>
      </c>
      <c r="Q720" t="str">
        <f>IF(Table1[[#This Row],[Discount_Applied]]=TRUE,"discount applied","no discount")</f>
        <v>no discount</v>
      </c>
    </row>
    <row r="721" spans="1:17" x14ac:dyDescent="0.3">
      <c r="A721">
        <v>1000000719</v>
      </c>
      <c r="B721" s="1">
        <v>44250.617777777778</v>
      </c>
      <c r="C721" t="s">
        <v>1399</v>
      </c>
      <c r="D721" t="s">
        <v>1400</v>
      </c>
      <c r="E721">
        <v>9</v>
      </c>
      <c r="F721">
        <v>90.48</v>
      </c>
      <c r="G721" t="s">
        <v>23</v>
      </c>
      <c r="H721" t="s">
        <v>36</v>
      </c>
      <c r="I721" t="s">
        <v>59</v>
      </c>
      <c r="J721" t="b">
        <v>0</v>
      </c>
      <c r="K721" t="s">
        <v>87</v>
      </c>
      <c r="L721" t="s">
        <v>38</v>
      </c>
      <c r="M721" t="s">
        <v>28</v>
      </c>
      <c r="N721">
        <f>YEAR(Table1[[#This Row],[Date]])</f>
        <v>2021</v>
      </c>
      <c r="O721" t="str">
        <f>TEXT(Table1[[#This Row],[Date]],"mmm")</f>
        <v>Feb</v>
      </c>
      <c r="P721" t="str">
        <f>IF(Table1[[#This Row],[Total_Cost]]&lt;25,"low",IF(Table1[[#This Row],[Total_Cost]]&lt;60,"medium","high"))</f>
        <v>high</v>
      </c>
      <c r="Q721" t="str">
        <f>IF(Table1[[#This Row],[Discount_Applied]]=TRUE,"discount applied","no discount")</f>
        <v>no discount</v>
      </c>
    </row>
    <row r="722" spans="1:17" x14ac:dyDescent="0.3">
      <c r="A722">
        <v>1000000720</v>
      </c>
      <c r="B722" s="1">
        <v>44751.02884259259</v>
      </c>
      <c r="C722" t="s">
        <v>1401</v>
      </c>
      <c r="D722" t="s">
        <v>484</v>
      </c>
      <c r="E722">
        <v>10</v>
      </c>
      <c r="F722">
        <v>56.69</v>
      </c>
      <c r="G722" t="s">
        <v>15</v>
      </c>
      <c r="H722" t="s">
        <v>77</v>
      </c>
      <c r="I722" t="s">
        <v>37</v>
      </c>
      <c r="J722" t="b">
        <v>1</v>
      </c>
      <c r="K722" t="s">
        <v>18</v>
      </c>
      <c r="L722" t="s">
        <v>27</v>
      </c>
      <c r="M722" t="s">
        <v>28</v>
      </c>
      <c r="N722">
        <f>YEAR(Table1[[#This Row],[Date]])</f>
        <v>2022</v>
      </c>
      <c r="O722" t="str">
        <f>TEXT(Table1[[#This Row],[Date]],"mmm")</f>
        <v>Jul</v>
      </c>
      <c r="P722" t="str">
        <f>IF(Table1[[#This Row],[Total_Cost]]&lt;25,"low",IF(Table1[[#This Row],[Total_Cost]]&lt;60,"medium","high"))</f>
        <v>medium</v>
      </c>
      <c r="Q722" t="str">
        <f>IF(Table1[[#This Row],[Discount_Applied]]=TRUE,"discount applied","no discount")</f>
        <v>discount applied</v>
      </c>
    </row>
    <row r="723" spans="1:17" x14ac:dyDescent="0.3">
      <c r="A723">
        <v>1000000721</v>
      </c>
      <c r="B723" s="1">
        <v>44039.071956018517</v>
      </c>
      <c r="C723" t="s">
        <v>1402</v>
      </c>
      <c r="D723" t="s">
        <v>1403</v>
      </c>
      <c r="E723">
        <v>3</v>
      </c>
      <c r="F723">
        <v>57.58</v>
      </c>
      <c r="G723" t="s">
        <v>15</v>
      </c>
      <c r="H723" t="s">
        <v>32</v>
      </c>
      <c r="I723" t="s">
        <v>59</v>
      </c>
      <c r="J723" t="b">
        <v>1</v>
      </c>
      <c r="K723" t="s">
        <v>62</v>
      </c>
      <c r="L723" t="s">
        <v>27</v>
      </c>
      <c r="M723" t="s">
        <v>20</v>
      </c>
      <c r="N723">
        <f>YEAR(Table1[[#This Row],[Date]])</f>
        <v>2020</v>
      </c>
      <c r="O723" t="str">
        <f>TEXT(Table1[[#This Row],[Date]],"mmm")</f>
        <v>Jul</v>
      </c>
      <c r="P723" t="str">
        <f>IF(Table1[[#This Row],[Total_Cost]]&lt;25,"low",IF(Table1[[#This Row],[Total_Cost]]&lt;60,"medium","high"))</f>
        <v>medium</v>
      </c>
      <c r="Q723" t="str">
        <f>IF(Table1[[#This Row],[Discount_Applied]]=TRUE,"discount applied","no discount")</f>
        <v>discount applied</v>
      </c>
    </row>
    <row r="724" spans="1:17" x14ac:dyDescent="0.3">
      <c r="A724">
        <v>1000000722</v>
      </c>
      <c r="B724" s="1">
        <v>44431.544456018521</v>
      </c>
      <c r="C724" t="s">
        <v>1404</v>
      </c>
      <c r="D724" t="s">
        <v>703</v>
      </c>
      <c r="E724">
        <v>2</v>
      </c>
      <c r="F724">
        <v>34.46</v>
      </c>
      <c r="G724" t="s">
        <v>23</v>
      </c>
      <c r="H724" t="s">
        <v>16</v>
      </c>
      <c r="I724" t="s">
        <v>17</v>
      </c>
      <c r="J724" t="b">
        <v>1</v>
      </c>
      <c r="K724" t="s">
        <v>42</v>
      </c>
      <c r="L724" t="s">
        <v>19</v>
      </c>
      <c r="M724" t="s">
        <v>20</v>
      </c>
      <c r="N724">
        <f>YEAR(Table1[[#This Row],[Date]])</f>
        <v>2021</v>
      </c>
      <c r="O724" t="str">
        <f>TEXT(Table1[[#This Row],[Date]],"mmm")</f>
        <v>Aug</v>
      </c>
      <c r="P724" t="str">
        <f>IF(Table1[[#This Row],[Total_Cost]]&lt;25,"low",IF(Table1[[#This Row],[Total_Cost]]&lt;60,"medium","high"))</f>
        <v>medium</v>
      </c>
      <c r="Q724" t="str">
        <f>IF(Table1[[#This Row],[Discount_Applied]]=TRUE,"discount applied","no discount")</f>
        <v>discount applied</v>
      </c>
    </row>
    <row r="725" spans="1:17" x14ac:dyDescent="0.3">
      <c r="A725">
        <v>1000000723</v>
      </c>
      <c r="B725" s="1">
        <v>44050.704212962963</v>
      </c>
      <c r="C725" t="s">
        <v>1405</v>
      </c>
      <c r="D725" t="s">
        <v>1406</v>
      </c>
      <c r="E725">
        <v>6</v>
      </c>
      <c r="F725">
        <v>47.35</v>
      </c>
      <c r="G725" t="s">
        <v>41</v>
      </c>
      <c r="H725" t="s">
        <v>36</v>
      </c>
      <c r="I725" t="s">
        <v>17</v>
      </c>
      <c r="J725" t="b">
        <v>1</v>
      </c>
      <c r="K725" t="s">
        <v>62</v>
      </c>
      <c r="L725" t="s">
        <v>27</v>
      </c>
      <c r="M725" t="s">
        <v>43</v>
      </c>
      <c r="N725">
        <f>YEAR(Table1[[#This Row],[Date]])</f>
        <v>2020</v>
      </c>
      <c r="O725" t="str">
        <f>TEXT(Table1[[#This Row],[Date]],"mmm")</f>
        <v>Aug</v>
      </c>
      <c r="P725" t="str">
        <f>IF(Table1[[#This Row],[Total_Cost]]&lt;25,"low",IF(Table1[[#This Row],[Total_Cost]]&lt;60,"medium","high"))</f>
        <v>medium</v>
      </c>
      <c r="Q725" t="str">
        <f>IF(Table1[[#This Row],[Discount_Applied]]=TRUE,"discount applied","no discount")</f>
        <v>discount applied</v>
      </c>
    </row>
    <row r="726" spans="1:17" x14ac:dyDescent="0.3">
      <c r="A726">
        <v>1000000724</v>
      </c>
      <c r="B726" s="1">
        <v>44299.762824074074</v>
      </c>
      <c r="C726" t="s">
        <v>1407</v>
      </c>
      <c r="D726" t="s">
        <v>593</v>
      </c>
      <c r="E726">
        <v>2</v>
      </c>
      <c r="F726">
        <v>99.6</v>
      </c>
      <c r="G726" t="s">
        <v>31</v>
      </c>
      <c r="H726" t="s">
        <v>50</v>
      </c>
      <c r="I726" t="s">
        <v>59</v>
      </c>
      <c r="J726" t="b">
        <v>0</v>
      </c>
      <c r="K726" t="s">
        <v>87</v>
      </c>
      <c r="L726" t="s">
        <v>19</v>
      </c>
      <c r="M726" t="s">
        <v>28</v>
      </c>
      <c r="N726">
        <f>YEAR(Table1[[#This Row],[Date]])</f>
        <v>2021</v>
      </c>
      <c r="O726" t="str">
        <f>TEXT(Table1[[#This Row],[Date]],"mmm")</f>
        <v>Apr</v>
      </c>
      <c r="P726" t="str">
        <f>IF(Table1[[#This Row],[Total_Cost]]&lt;25,"low",IF(Table1[[#This Row],[Total_Cost]]&lt;60,"medium","high"))</f>
        <v>high</v>
      </c>
      <c r="Q726" t="str">
        <f>IF(Table1[[#This Row],[Discount_Applied]]=TRUE,"discount applied","no discount")</f>
        <v>no discount</v>
      </c>
    </row>
    <row r="727" spans="1:17" x14ac:dyDescent="0.3">
      <c r="A727">
        <v>1000000725</v>
      </c>
      <c r="B727" s="1">
        <v>45185.280636574076</v>
      </c>
      <c r="C727" t="s">
        <v>1408</v>
      </c>
      <c r="D727" t="s">
        <v>1409</v>
      </c>
      <c r="E727">
        <v>5</v>
      </c>
      <c r="F727">
        <v>43.28</v>
      </c>
      <c r="G727" t="s">
        <v>23</v>
      </c>
      <c r="H727" t="s">
        <v>24</v>
      </c>
      <c r="I727" t="s">
        <v>25</v>
      </c>
      <c r="J727" t="b">
        <v>0</v>
      </c>
      <c r="K727" t="s">
        <v>87</v>
      </c>
      <c r="L727" t="s">
        <v>19</v>
      </c>
      <c r="M727" t="s">
        <v>20</v>
      </c>
      <c r="N727">
        <f>YEAR(Table1[[#This Row],[Date]])</f>
        <v>2023</v>
      </c>
      <c r="O727" t="str">
        <f>TEXT(Table1[[#This Row],[Date]],"mmm")</f>
        <v>Sep</v>
      </c>
      <c r="P727" t="str">
        <f>IF(Table1[[#This Row],[Total_Cost]]&lt;25,"low",IF(Table1[[#This Row],[Total_Cost]]&lt;60,"medium","high"))</f>
        <v>medium</v>
      </c>
      <c r="Q727" t="str">
        <f>IF(Table1[[#This Row],[Discount_Applied]]=TRUE,"discount applied","no discount")</f>
        <v>no discount</v>
      </c>
    </row>
    <row r="728" spans="1:17" x14ac:dyDescent="0.3">
      <c r="A728">
        <v>1000000726</v>
      </c>
      <c r="B728" s="1">
        <v>43834.108622685184</v>
      </c>
      <c r="C728" t="s">
        <v>1410</v>
      </c>
      <c r="D728" t="s">
        <v>1411</v>
      </c>
      <c r="E728">
        <v>4</v>
      </c>
      <c r="F728">
        <v>8.4499999999999993</v>
      </c>
      <c r="G728" t="s">
        <v>15</v>
      </c>
      <c r="H728" t="s">
        <v>96</v>
      </c>
      <c r="I728" t="s">
        <v>25</v>
      </c>
      <c r="J728" t="b">
        <v>0</v>
      </c>
      <c r="K728" t="s">
        <v>62</v>
      </c>
      <c r="L728" t="s">
        <v>38</v>
      </c>
      <c r="M728" t="s">
        <v>28</v>
      </c>
      <c r="N728">
        <f>YEAR(Table1[[#This Row],[Date]])</f>
        <v>2020</v>
      </c>
      <c r="O728" t="str">
        <f>TEXT(Table1[[#This Row],[Date]],"mmm")</f>
        <v>Jan</v>
      </c>
      <c r="P728" t="str">
        <f>IF(Table1[[#This Row],[Total_Cost]]&lt;25,"low",IF(Table1[[#This Row],[Total_Cost]]&lt;60,"medium","high"))</f>
        <v>low</v>
      </c>
      <c r="Q728" t="str">
        <f>IF(Table1[[#This Row],[Discount_Applied]]=TRUE,"discount applied","no discount")</f>
        <v>no discount</v>
      </c>
    </row>
    <row r="729" spans="1:17" x14ac:dyDescent="0.3">
      <c r="A729">
        <v>1000000727</v>
      </c>
      <c r="B729" s="1">
        <v>45301.059791666667</v>
      </c>
      <c r="C729" t="s">
        <v>1412</v>
      </c>
      <c r="D729" t="s">
        <v>1413</v>
      </c>
      <c r="E729">
        <v>1</v>
      </c>
      <c r="F729">
        <v>17.5</v>
      </c>
      <c r="G729" t="s">
        <v>41</v>
      </c>
      <c r="H729" t="s">
        <v>65</v>
      </c>
      <c r="I729" t="s">
        <v>59</v>
      </c>
      <c r="J729" t="b">
        <v>1</v>
      </c>
      <c r="K729" t="s">
        <v>47</v>
      </c>
      <c r="L729" t="s">
        <v>27</v>
      </c>
      <c r="M729" t="s">
        <v>20</v>
      </c>
      <c r="N729">
        <f>YEAR(Table1[[#This Row],[Date]])</f>
        <v>2024</v>
      </c>
      <c r="O729" t="str">
        <f>TEXT(Table1[[#This Row],[Date]],"mmm")</f>
        <v>Jan</v>
      </c>
      <c r="P729" t="str">
        <f>IF(Table1[[#This Row],[Total_Cost]]&lt;25,"low",IF(Table1[[#This Row],[Total_Cost]]&lt;60,"medium","high"))</f>
        <v>low</v>
      </c>
      <c r="Q729" t="str">
        <f>IF(Table1[[#This Row],[Discount_Applied]]=TRUE,"discount applied","no discount")</f>
        <v>discount applied</v>
      </c>
    </row>
    <row r="730" spans="1:17" x14ac:dyDescent="0.3">
      <c r="A730">
        <v>1000000728</v>
      </c>
      <c r="B730" s="1">
        <v>44242.324479166666</v>
      </c>
      <c r="C730" t="s">
        <v>1414</v>
      </c>
      <c r="D730" t="s">
        <v>1415</v>
      </c>
      <c r="E730">
        <v>5</v>
      </c>
      <c r="F730">
        <v>77.33</v>
      </c>
      <c r="G730" t="s">
        <v>31</v>
      </c>
      <c r="H730" t="s">
        <v>24</v>
      </c>
      <c r="I730" t="s">
        <v>33</v>
      </c>
      <c r="J730" t="b">
        <v>0</v>
      </c>
      <c r="K730" t="s">
        <v>42</v>
      </c>
      <c r="L730" t="s">
        <v>19</v>
      </c>
      <c r="M730" t="s">
        <v>43</v>
      </c>
      <c r="N730">
        <f>YEAR(Table1[[#This Row],[Date]])</f>
        <v>2021</v>
      </c>
      <c r="O730" t="str">
        <f>TEXT(Table1[[#This Row],[Date]],"mmm")</f>
        <v>Feb</v>
      </c>
      <c r="P730" t="str">
        <f>IF(Table1[[#This Row],[Total_Cost]]&lt;25,"low",IF(Table1[[#This Row],[Total_Cost]]&lt;60,"medium","high"))</f>
        <v>high</v>
      </c>
      <c r="Q730" t="str">
        <f>IF(Table1[[#This Row],[Discount_Applied]]=TRUE,"discount applied","no discount")</f>
        <v>no discount</v>
      </c>
    </row>
    <row r="731" spans="1:17" x14ac:dyDescent="0.3">
      <c r="A731">
        <v>1000000729</v>
      </c>
      <c r="B731" s="1">
        <v>44113.851203703707</v>
      </c>
      <c r="C731" t="s">
        <v>1416</v>
      </c>
      <c r="D731" t="s">
        <v>228</v>
      </c>
      <c r="E731">
        <v>10</v>
      </c>
      <c r="F731">
        <v>7.34</v>
      </c>
      <c r="G731" t="s">
        <v>23</v>
      </c>
      <c r="H731" t="s">
        <v>129</v>
      </c>
      <c r="I731" t="s">
        <v>17</v>
      </c>
      <c r="J731" t="b">
        <v>1</v>
      </c>
      <c r="K731" t="s">
        <v>18</v>
      </c>
      <c r="L731" t="s">
        <v>38</v>
      </c>
      <c r="M731" t="s">
        <v>20</v>
      </c>
      <c r="N731">
        <f>YEAR(Table1[[#This Row],[Date]])</f>
        <v>2020</v>
      </c>
      <c r="O731" t="str">
        <f>TEXT(Table1[[#This Row],[Date]],"mmm")</f>
        <v>Oct</v>
      </c>
      <c r="P731" t="str">
        <f>IF(Table1[[#This Row],[Total_Cost]]&lt;25,"low",IF(Table1[[#This Row],[Total_Cost]]&lt;60,"medium","high"))</f>
        <v>low</v>
      </c>
      <c r="Q731" t="str">
        <f>IF(Table1[[#This Row],[Discount_Applied]]=TRUE,"discount applied","no discount")</f>
        <v>discount applied</v>
      </c>
    </row>
    <row r="732" spans="1:17" x14ac:dyDescent="0.3">
      <c r="A732">
        <v>1000000730</v>
      </c>
      <c r="B732" s="1">
        <v>44019.700474537036</v>
      </c>
      <c r="C732" t="s">
        <v>1417</v>
      </c>
      <c r="D732" t="s">
        <v>1418</v>
      </c>
      <c r="E732">
        <v>4</v>
      </c>
      <c r="F732">
        <v>32.770000000000003</v>
      </c>
      <c r="G732" t="s">
        <v>41</v>
      </c>
      <c r="H732" t="s">
        <v>129</v>
      </c>
      <c r="I732" t="s">
        <v>25</v>
      </c>
      <c r="J732" t="b">
        <v>0</v>
      </c>
      <c r="K732" t="s">
        <v>18</v>
      </c>
      <c r="L732" t="s">
        <v>52</v>
      </c>
      <c r="M732" t="s">
        <v>43</v>
      </c>
      <c r="N732">
        <f>YEAR(Table1[[#This Row],[Date]])</f>
        <v>2020</v>
      </c>
      <c r="O732" t="str">
        <f>TEXT(Table1[[#This Row],[Date]],"mmm")</f>
        <v>Jul</v>
      </c>
      <c r="P732" t="str">
        <f>IF(Table1[[#This Row],[Total_Cost]]&lt;25,"low",IF(Table1[[#This Row],[Total_Cost]]&lt;60,"medium","high"))</f>
        <v>medium</v>
      </c>
      <c r="Q732" t="str">
        <f>IF(Table1[[#This Row],[Discount_Applied]]=TRUE,"discount applied","no discount")</f>
        <v>no discount</v>
      </c>
    </row>
    <row r="733" spans="1:17" x14ac:dyDescent="0.3">
      <c r="A733">
        <v>1000000731</v>
      </c>
      <c r="B733" s="1">
        <v>44053.325173611112</v>
      </c>
      <c r="C733" t="s">
        <v>1419</v>
      </c>
      <c r="D733" t="s">
        <v>1420</v>
      </c>
      <c r="E733">
        <v>6</v>
      </c>
      <c r="F733">
        <v>72.92</v>
      </c>
      <c r="G733" t="s">
        <v>41</v>
      </c>
      <c r="H733" t="s">
        <v>24</v>
      </c>
      <c r="I733" t="s">
        <v>33</v>
      </c>
      <c r="J733" t="b">
        <v>0</v>
      </c>
      <c r="K733" t="s">
        <v>87</v>
      </c>
      <c r="L733" t="s">
        <v>27</v>
      </c>
      <c r="M733" t="s">
        <v>20</v>
      </c>
      <c r="N733">
        <f>YEAR(Table1[[#This Row],[Date]])</f>
        <v>2020</v>
      </c>
      <c r="O733" t="str">
        <f>TEXT(Table1[[#This Row],[Date]],"mmm")</f>
        <v>Aug</v>
      </c>
      <c r="P733" t="str">
        <f>IF(Table1[[#This Row],[Total_Cost]]&lt;25,"low",IF(Table1[[#This Row],[Total_Cost]]&lt;60,"medium","high"))</f>
        <v>high</v>
      </c>
      <c r="Q733" t="str">
        <f>IF(Table1[[#This Row],[Discount_Applied]]=TRUE,"discount applied","no discount")</f>
        <v>no discount</v>
      </c>
    </row>
    <row r="734" spans="1:17" x14ac:dyDescent="0.3">
      <c r="A734">
        <v>1000000732</v>
      </c>
      <c r="B734" s="1">
        <v>45029.057372685187</v>
      </c>
      <c r="C734" t="s">
        <v>1421</v>
      </c>
      <c r="D734" t="s">
        <v>981</v>
      </c>
      <c r="E734">
        <v>10</v>
      </c>
      <c r="F734">
        <v>21.76</v>
      </c>
      <c r="G734" t="s">
        <v>23</v>
      </c>
      <c r="H734" t="s">
        <v>16</v>
      </c>
      <c r="I734" t="s">
        <v>37</v>
      </c>
      <c r="J734" t="b">
        <v>0</v>
      </c>
      <c r="K734" t="s">
        <v>47</v>
      </c>
      <c r="L734" t="s">
        <v>38</v>
      </c>
      <c r="M734" t="s">
        <v>28</v>
      </c>
      <c r="N734">
        <f>YEAR(Table1[[#This Row],[Date]])</f>
        <v>2023</v>
      </c>
      <c r="O734" t="str">
        <f>TEXT(Table1[[#This Row],[Date]],"mmm")</f>
        <v>Apr</v>
      </c>
      <c r="P734" t="str">
        <f>IF(Table1[[#This Row],[Total_Cost]]&lt;25,"low",IF(Table1[[#This Row],[Total_Cost]]&lt;60,"medium","high"))</f>
        <v>low</v>
      </c>
      <c r="Q734" t="str">
        <f>IF(Table1[[#This Row],[Discount_Applied]]=TRUE,"discount applied","no discount")</f>
        <v>no discount</v>
      </c>
    </row>
    <row r="735" spans="1:17" x14ac:dyDescent="0.3">
      <c r="A735">
        <v>1000000733</v>
      </c>
      <c r="B735" s="1">
        <v>44725.845543981479</v>
      </c>
      <c r="C735" t="s">
        <v>1422</v>
      </c>
      <c r="D735" t="s">
        <v>1423</v>
      </c>
      <c r="E735">
        <v>7</v>
      </c>
      <c r="F735">
        <v>89.3</v>
      </c>
      <c r="G735" t="s">
        <v>41</v>
      </c>
      <c r="H735" t="s">
        <v>129</v>
      </c>
      <c r="I735" t="s">
        <v>17</v>
      </c>
      <c r="J735" t="b">
        <v>0</v>
      </c>
      <c r="K735" t="s">
        <v>18</v>
      </c>
      <c r="L735" t="s">
        <v>19</v>
      </c>
      <c r="M735" t="s">
        <v>28</v>
      </c>
      <c r="N735">
        <f>YEAR(Table1[[#This Row],[Date]])</f>
        <v>2022</v>
      </c>
      <c r="O735" t="str">
        <f>TEXT(Table1[[#This Row],[Date]],"mmm")</f>
        <v>Jun</v>
      </c>
      <c r="P735" t="str">
        <f>IF(Table1[[#This Row],[Total_Cost]]&lt;25,"low",IF(Table1[[#This Row],[Total_Cost]]&lt;60,"medium","high"))</f>
        <v>high</v>
      </c>
      <c r="Q735" t="str">
        <f>IF(Table1[[#This Row],[Discount_Applied]]=TRUE,"discount applied","no discount")</f>
        <v>no discount</v>
      </c>
    </row>
    <row r="736" spans="1:17" x14ac:dyDescent="0.3">
      <c r="A736">
        <v>1000000734</v>
      </c>
      <c r="B736" s="1">
        <v>44775.811655092592</v>
      </c>
      <c r="C736" t="s">
        <v>1424</v>
      </c>
      <c r="D736" t="s">
        <v>139</v>
      </c>
      <c r="E736">
        <v>1</v>
      </c>
      <c r="F736">
        <v>91.71</v>
      </c>
      <c r="G736" t="s">
        <v>15</v>
      </c>
      <c r="H736" t="s">
        <v>70</v>
      </c>
      <c r="I736" t="s">
        <v>46</v>
      </c>
      <c r="J736" t="b">
        <v>0</v>
      </c>
      <c r="K736" t="s">
        <v>42</v>
      </c>
      <c r="L736" t="s">
        <v>52</v>
      </c>
      <c r="M736" t="s">
        <v>20</v>
      </c>
      <c r="N736">
        <f>YEAR(Table1[[#This Row],[Date]])</f>
        <v>2022</v>
      </c>
      <c r="O736" t="str">
        <f>TEXT(Table1[[#This Row],[Date]],"mmm")</f>
        <v>Aug</v>
      </c>
      <c r="P736" t="str">
        <f>IF(Table1[[#This Row],[Total_Cost]]&lt;25,"low",IF(Table1[[#This Row],[Total_Cost]]&lt;60,"medium","high"))</f>
        <v>high</v>
      </c>
      <c r="Q736" t="str">
        <f>IF(Table1[[#This Row],[Discount_Applied]]=TRUE,"discount applied","no discount")</f>
        <v>no discount</v>
      </c>
    </row>
    <row r="737" spans="1:17" x14ac:dyDescent="0.3">
      <c r="A737">
        <v>1000000735</v>
      </c>
      <c r="B737" s="1">
        <v>45361.43787037037</v>
      </c>
      <c r="C737" t="s">
        <v>1425</v>
      </c>
      <c r="D737" t="s">
        <v>1426</v>
      </c>
      <c r="E737">
        <v>4</v>
      </c>
      <c r="F737">
        <v>71.75</v>
      </c>
      <c r="G737" t="s">
        <v>41</v>
      </c>
      <c r="H737" t="s">
        <v>32</v>
      </c>
      <c r="I737" t="s">
        <v>59</v>
      </c>
      <c r="J737" t="b">
        <v>0</v>
      </c>
      <c r="K737" t="s">
        <v>51</v>
      </c>
      <c r="L737" t="s">
        <v>19</v>
      </c>
      <c r="M737" t="s">
        <v>28</v>
      </c>
      <c r="N737">
        <f>YEAR(Table1[[#This Row],[Date]])</f>
        <v>2024</v>
      </c>
      <c r="O737" t="str">
        <f>TEXT(Table1[[#This Row],[Date]],"mmm")</f>
        <v>Mar</v>
      </c>
      <c r="P737" t="str">
        <f>IF(Table1[[#This Row],[Total_Cost]]&lt;25,"low",IF(Table1[[#This Row],[Total_Cost]]&lt;60,"medium","high"))</f>
        <v>high</v>
      </c>
      <c r="Q737" t="str">
        <f>IF(Table1[[#This Row],[Discount_Applied]]=TRUE,"discount applied","no discount")</f>
        <v>no discount</v>
      </c>
    </row>
    <row r="738" spans="1:17" x14ac:dyDescent="0.3">
      <c r="A738">
        <v>1000000736</v>
      </c>
      <c r="B738" s="1">
        <v>45293.575289351851</v>
      </c>
      <c r="C738" t="s">
        <v>1427</v>
      </c>
      <c r="D738" t="s">
        <v>1428</v>
      </c>
      <c r="E738">
        <v>9</v>
      </c>
      <c r="F738">
        <v>49.02</v>
      </c>
      <c r="G738" t="s">
        <v>31</v>
      </c>
      <c r="H738" t="s">
        <v>70</v>
      </c>
      <c r="I738" t="s">
        <v>25</v>
      </c>
      <c r="J738" t="b">
        <v>0</v>
      </c>
      <c r="K738" t="s">
        <v>42</v>
      </c>
      <c r="L738" t="s">
        <v>38</v>
      </c>
      <c r="M738" t="s">
        <v>20</v>
      </c>
      <c r="N738">
        <f>YEAR(Table1[[#This Row],[Date]])</f>
        <v>2024</v>
      </c>
      <c r="O738" t="str">
        <f>TEXT(Table1[[#This Row],[Date]],"mmm")</f>
        <v>Jan</v>
      </c>
      <c r="P738" t="str">
        <f>IF(Table1[[#This Row],[Total_Cost]]&lt;25,"low",IF(Table1[[#This Row],[Total_Cost]]&lt;60,"medium","high"))</f>
        <v>medium</v>
      </c>
      <c r="Q738" t="str">
        <f>IF(Table1[[#This Row],[Discount_Applied]]=TRUE,"discount applied","no discount")</f>
        <v>no discount</v>
      </c>
    </row>
    <row r="739" spans="1:17" x14ac:dyDescent="0.3">
      <c r="A739">
        <v>1000000737</v>
      </c>
      <c r="B739" s="1">
        <v>44245.106504629628</v>
      </c>
      <c r="C739" t="s">
        <v>1429</v>
      </c>
      <c r="D739" t="s">
        <v>1430</v>
      </c>
      <c r="E739">
        <v>3</v>
      </c>
      <c r="F739">
        <v>16.579999999999998</v>
      </c>
      <c r="G739" t="s">
        <v>31</v>
      </c>
      <c r="H739" t="s">
        <v>70</v>
      </c>
      <c r="I739" t="s">
        <v>33</v>
      </c>
      <c r="J739" t="b">
        <v>0</v>
      </c>
      <c r="K739" t="s">
        <v>51</v>
      </c>
      <c r="L739" t="s">
        <v>27</v>
      </c>
      <c r="M739" t="s">
        <v>28</v>
      </c>
      <c r="N739">
        <f>YEAR(Table1[[#This Row],[Date]])</f>
        <v>2021</v>
      </c>
      <c r="O739" t="str">
        <f>TEXT(Table1[[#This Row],[Date]],"mmm")</f>
        <v>Feb</v>
      </c>
      <c r="P739" t="str">
        <f>IF(Table1[[#This Row],[Total_Cost]]&lt;25,"low",IF(Table1[[#This Row],[Total_Cost]]&lt;60,"medium","high"))</f>
        <v>low</v>
      </c>
      <c r="Q739" t="str">
        <f>IF(Table1[[#This Row],[Discount_Applied]]=TRUE,"discount applied","no discount")</f>
        <v>no discount</v>
      </c>
    </row>
    <row r="740" spans="1:17" x14ac:dyDescent="0.3">
      <c r="A740">
        <v>1000000738</v>
      </c>
      <c r="B740" s="1">
        <v>43969.478171296294</v>
      </c>
      <c r="C740" t="s">
        <v>1431</v>
      </c>
      <c r="D740" t="s">
        <v>1432</v>
      </c>
      <c r="E740">
        <v>4</v>
      </c>
      <c r="F740">
        <v>85.25</v>
      </c>
      <c r="G740" t="s">
        <v>15</v>
      </c>
      <c r="H740" t="s">
        <v>16</v>
      </c>
      <c r="I740" t="s">
        <v>59</v>
      </c>
      <c r="J740" t="b">
        <v>1</v>
      </c>
      <c r="K740" t="s">
        <v>42</v>
      </c>
      <c r="L740" t="s">
        <v>52</v>
      </c>
      <c r="M740" t="s">
        <v>20</v>
      </c>
      <c r="N740">
        <f>YEAR(Table1[[#This Row],[Date]])</f>
        <v>2020</v>
      </c>
      <c r="O740" t="str">
        <f>TEXT(Table1[[#This Row],[Date]],"mmm")</f>
        <v>May</v>
      </c>
      <c r="P740" t="str">
        <f>IF(Table1[[#This Row],[Total_Cost]]&lt;25,"low",IF(Table1[[#This Row],[Total_Cost]]&lt;60,"medium","high"))</f>
        <v>high</v>
      </c>
      <c r="Q740" t="str">
        <f>IF(Table1[[#This Row],[Discount_Applied]]=TRUE,"discount applied","no discount")</f>
        <v>discount applied</v>
      </c>
    </row>
    <row r="741" spans="1:17" x14ac:dyDescent="0.3">
      <c r="A741">
        <v>1000000739</v>
      </c>
      <c r="B741" s="1">
        <v>44151.503819444442</v>
      </c>
      <c r="C741" t="s">
        <v>1433</v>
      </c>
      <c r="D741" t="s">
        <v>1434</v>
      </c>
      <c r="E741">
        <v>2</v>
      </c>
      <c r="F741">
        <v>69.42</v>
      </c>
      <c r="G741" t="s">
        <v>41</v>
      </c>
      <c r="H741" t="s">
        <v>77</v>
      </c>
      <c r="I741" t="s">
        <v>33</v>
      </c>
      <c r="J741" t="b">
        <v>1</v>
      </c>
      <c r="K741" t="s">
        <v>26</v>
      </c>
      <c r="L741" t="s">
        <v>38</v>
      </c>
      <c r="M741" t="s">
        <v>20</v>
      </c>
      <c r="N741">
        <f>YEAR(Table1[[#This Row],[Date]])</f>
        <v>2020</v>
      </c>
      <c r="O741" t="str">
        <f>TEXT(Table1[[#This Row],[Date]],"mmm")</f>
        <v>Nov</v>
      </c>
      <c r="P741" t="str">
        <f>IF(Table1[[#This Row],[Total_Cost]]&lt;25,"low",IF(Table1[[#This Row],[Total_Cost]]&lt;60,"medium","high"))</f>
        <v>high</v>
      </c>
      <c r="Q741" t="str">
        <f>IF(Table1[[#This Row],[Discount_Applied]]=TRUE,"discount applied","no discount")</f>
        <v>discount applied</v>
      </c>
    </row>
    <row r="742" spans="1:17" x14ac:dyDescent="0.3">
      <c r="A742">
        <v>1000000740</v>
      </c>
      <c r="B742" s="1">
        <v>44357.273194444446</v>
      </c>
      <c r="C742" t="s">
        <v>1435</v>
      </c>
      <c r="D742" t="s">
        <v>1436</v>
      </c>
      <c r="E742">
        <v>7</v>
      </c>
      <c r="F742">
        <v>54.37</v>
      </c>
      <c r="G742" t="s">
        <v>15</v>
      </c>
      <c r="H742" t="s">
        <v>77</v>
      </c>
      <c r="I742" t="s">
        <v>59</v>
      </c>
      <c r="J742" t="b">
        <v>0</v>
      </c>
      <c r="K742" t="s">
        <v>80</v>
      </c>
      <c r="L742" t="s">
        <v>52</v>
      </c>
      <c r="M742" t="s">
        <v>20</v>
      </c>
      <c r="N742">
        <f>YEAR(Table1[[#This Row],[Date]])</f>
        <v>2021</v>
      </c>
      <c r="O742" t="str">
        <f>TEXT(Table1[[#This Row],[Date]],"mmm")</f>
        <v>Jun</v>
      </c>
      <c r="P742" t="str">
        <f>IF(Table1[[#This Row],[Total_Cost]]&lt;25,"low",IF(Table1[[#This Row],[Total_Cost]]&lt;60,"medium","high"))</f>
        <v>medium</v>
      </c>
      <c r="Q742" t="str">
        <f>IF(Table1[[#This Row],[Discount_Applied]]=TRUE,"discount applied","no discount")</f>
        <v>no discount</v>
      </c>
    </row>
    <row r="743" spans="1:17" x14ac:dyDescent="0.3">
      <c r="A743">
        <v>1000000741</v>
      </c>
      <c r="B743" s="1">
        <v>44468.377106481479</v>
      </c>
      <c r="C743" t="s">
        <v>1437</v>
      </c>
      <c r="D743" t="s">
        <v>1438</v>
      </c>
      <c r="E743">
        <v>3</v>
      </c>
      <c r="F743">
        <v>45.26</v>
      </c>
      <c r="G743" t="s">
        <v>31</v>
      </c>
      <c r="H743" t="s">
        <v>24</v>
      </c>
      <c r="I743" t="s">
        <v>37</v>
      </c>
      <c r="J743" t="b">
        <v>1</v>
      </c>
      <c r="K743" t="s">
        <v>62</v>
      </c>
      <c r="L743" t="s">
        <v>38</v>
      </c>
      <c r="M743" t="s">
        <v>28</v>
      </c>
      <c r="N743">
        <f>YEAR(Table1[[#This Row],[Date]])</f>
        <v>2021</v>
      </c>
      <c r="O743" t="str">
        <f>TEXT(Table1[[#This Row],[Date]],"mmm")</f>
        <v>Sep</v>
      </c>
      <c r="P743" t="str">
        <f>IF(Table1[[#This Row],[Total_Cost]]&lt;25,"low",IF(Table1[[#This Row],[Total_Cost]]&lt;60,"medium","high"))</f>
        <v>medium</v>
      </c>
      <c r="Q743" t="str">
        <f>IF(Table1[[#This Row],[Discount_Applied]]=TRUE,"discount applied","no discount")</f>
        <v>discount applied</v>
      </c>
    </row>
    <row r="744" spans="1:17" x14ac:dyDescent="0.3">
      <c r="A744">
        <v>1000000742</v>
      </c>
      <c r="B744" s="1">
        <v>45176.306458333333</v>
      </c>
      <c r="C744" t="s">
        <v>1439</v>
      </c>
      <c r="D744" t="s">
        <v>1440</v>
      </c>
      <c r="E744">
        <v>2</v>
      </c>
      <c r="F744">
        <v>66.239999999999995</v>
      </c>
      <c r="G744" t="s">
        <v>41</v>
      </c>
      <c r="H744" t="s">
        <v>96</v>
      </c>
      <c r="I744" t="s">
        <v>46</v>
      </c>
      <c r="J744" t="b">
        <v>0</v>
      </c>
      <c r="K744" t="s">
        <v>47</v>
      </c>
      <c r="L744" t="s">
        <v>38</v>
      </c>
      <c r="M744" t="s">
        <v>20</v>
      </c>
      <c r="N744">
        <f>YEAR(Table1[[#This Row],[Date]])</f>
        <v>2023</v>
      </c>
      <c r="O744" t="str">
        <f>TEXT(Table1[[#This Row],[Date]],"mmm")</f>
        <v>Sep</v>
      </c>
      <c r="P744" t="str">
        <f>IF(Table1[[#This Row],[Total_Cost]]&lt;25,"low",IF(Table1[[#This Row],[Total_Cost]]&lt;60,"medium","high"))</f>
        <v>high</v>
      </c>
      <c r="Q744" t="str">
        <f>IF(Table1[[#This Row],[Discount_Applied]]=TRUE,"discount applied","no discount")</f>
        <v>no discount</v>
      </c>
    </row>
    <row r="745" spans="1:17" x14ac:dyDescent="0.3">
      <c r="A745">
        <v>1000000743</v>
      </c>
      <c r="B745" s="1">
        <v>43976.502349537041</v>
      </c>
      <c r="C745" t="s">
        <v>1441</v>
      </c>
      <c r="D745" t="s">
        <v>1442</v>
      </c>
      <c r="E745">
        <v>9</v>
      </c>
      <c r="F745">
        <v>9.2200000000000006</v>
      </c>
      <c r="G745" t="s">
        <v>41</v>
      </c>
      <c r="H745" t="s">
        <v>32</v>
      </c>
      <c r="I745" t="s">
        <v>46</v>
      </c>
      <c r="J745" t="b">
        <v>1</v>
      </c>
      <c r="K745" t="s">
        <v>62</v>
      </c>
      <c r="L745" t="s">
        <v>19</v>
      </c>
      <c r="M745" t="s">
        <v>28</v>
      </c>
      <c r="N745">
        <f>YEAR(Table1[[#This Row],[Date]])</f>
        <v>2020</v>
      </c>
      <c r="O745" t="str">
        <f>TEXT(Table1[[#This Row],[Date]],"mmm")</f>
        <v>May</v>
      </c>
      <c r="P745" t="str">
        <f>IF(Table1[[#This Row],[Total_Cost]]&lt;25,"low",IF(Table1[[#This Row],[Total_Cost]]&lt;60,"medium","high"))</f>
        <v>low</v>
      </c>
      <c r="Q745" t="str">
        <f>IF(Table1[[#This Row],[Discount_Applied]]=TRUE,"discount applied","no discount")</f>
        <v>discount applied</v>
      </c>
    </row>
    <row r="746" spans="1:17" x14ac:dyDescent="0.3">
      <c r="A746">
        <v>1000000744</v>
      </c>
      <c r="B746" s="1">
        <v>43987.357604166667</v>
      </c>
      <c r="C746" t="s">
        <v>1443</v>
      </c>
      <c r="D746" t="s">
        <v>1444</v>
      </c>
      <c r="E746">
        <v>4</v>
      </c>
      <c r="F746">
        <v>72.25</v>
      </c>
      <c r="G746" t="s">
        <v>23</v>
      </c>
      <c r="H746" t="s">
        <v>77</v>
      </c>
      <c r="I746" t="s">
        <v>37</v>
      </c>
      <c r="J746" t="b">
        <v>0</v>
      </c>
      <c r="K746" t="s">
        <v>51</v>
      </c>
      <c r="L746" t="s">
        <v>38</v>
      </c>
      <c r="M746" t="s">
        <v>43</v>
      </c>
      <c r="N746">
        <f>YEAR(Table1[[#This Row],[Date]])</f>
        <v>2020</v>
      </c>
      <c r="O746" t="str">
        <f>TEXT(Table1[[#This Row],[Date]],"mmm")</f>
        <v>Jun</v>
      </c>
      <c r="P746" t="str">
        <f>IF(Table1[[#This Row],[Total_Cost]]&lt;25,"low",IF(Table1[[#This Row],[Total_Cost]]&lt;60,"medium","high"))</f>
        <v>high</v>
      </c>
      <c r="Q746" t="str">
        <f>IF(Table1[[#This Row],[Discount_Applied]]=TRUE,"discount applied","no discount")</f>
        <v>no discount</v>
      </c>
    </row>
    <row r="747" spans="1:17" x14ac:dyDescent="0.3">
      <c r="A747">
        <v>1000000745</v>
      </c>
      <c r="B747" s="1">
        <v>43908.540011574078</v>
      </c>
      <c r="C747" t="s">
        <v>1445</v>
      </c>
      <c r="D747" t="s">
        <v>1446</v>
      </c>
      <c r="E747">
        <v>7</v>
      </c>
      <c r="F747">
        <v>34.229999999999997</v>
      </c>
      <c r="G747" t="s">
        <v>15</v>
      </c>
      <c r="H747" t="s">
        <v>32</v>
      </c>
      <c r="I747" t="s">
        <v>59</v>
      </c>
      <c r="J747" t="b">
        <v>1</v>
      </c>
      <c r="K747" t="s">
        <v>87</v>
      </c>
      <c r="L747" t="s">
        <v>27</v>
      </c>
      <c r="M747" t="s">
        <v>43</v>
      </c>
      <c r="N747">
        <f>YEAR(Table1[[#This Row],[Date]])</f>
        <v>2020</v>
      </c>
      <c r="O747" t="str">
        <f>TEXT(Table1[[#This Row],[Date]],"mmm")</f>
        <v>Mar</v>
      </c>
      <c r="P747" t="str">
        <f>IF(Table1[[#This Row],[Total_Cost]]&lt;25,"low",IF(Table1[[#This Row],[Total_Cost]]&lt;60,"medium","high"))</f>
        <v>medium</v>
      </c>
      <c r="Q747" t="str">
        <f>IF(Table1[[#This Row],[Discount_Applied]]=TRUE,"discount applied","no discount")</f>
        <v>discount applied</v>
      </c>
    </row>
    <row r="748" spans="1:17" x14ac:dyDescent="0.3">
      <c r="A748">
        <v>1000000746</v>
      </c>
      <c r="B748" s="1">
        <v>44731.325844907406</v>
      </c>
      <c r="C748" t="s">
        <v>1447</v>
      </c>
      <c r="D748" t="s">
        <v>1448</v>
      </c>
      <c r="E748">
        <v>10</v>
      </c>
      <c r="F748">
        <v>44.61</v>
      </c>
      <c r="G748" t="s">
        <v>15</v>
      </c>
      <c r="H748" t="s">
        <v>24</v>
      </c>
      <c r="I748" t="s">
        <v>25</v>
      </c>
      <c r="J748" t="b">
        <v>0</v>
      </c>
      <c r="K748" t="s">
        <v>51</v>
      </c>
      <c r="L748" t="s">
        <v>19</v>
      </c>
      <c r="M748" t="s">
        <v>43</v>
      </c>
      <c r="N748">
        <f>YEAR(Table1[[#This Row],[Date]])</f>
        <v>2022</v>
      </c>
      <c r="O748" t="str">
        <f>TEXT(Table1[[#This Row],[Date]],"mmm")</f>
        <v>Jun</v>
      </c>
      <c r="P748" t="str">
        <f>IF(Table1[[#This Row],[Total_Cost]]&lt;25,"low",IF(Table1[[#This Row],[Total_Cost]]&lt;60,"medium","high"))</f>
        <v>medium</v>
      </c>
      <c r="Q748" t="str">
        <f>IF(Table1[[#This Row],[Discount_Applied]]=TRUE,"discount applied","no discount")</f>
        <v>no discount</v>
      </c>
    </row>
    <row r="749" spans="1:17" x14ac:dyDescent="0.3">
      <c r="A749">
        <v>1000000747</v>
      </c>
      <c r="B749" s="1">
        <v>44831.527453703704</v>
      </c>
      <c r="C749" t="s">
        <v>1449</v>
      </c>
      <c r="D749" t="s">
        <v>1450</v>
      </c>
      <c r="E749">
        <v>5</v>
      </c>
      <c r="F749">
        <v>76.88</v>
      </c>
      <c r="G749" t="s">
        <v>41</v>
      </c>
      <c r="H749" t="s">
        <v>50</v>
      </c>
      <c r="I749" t="s">
        <v>33</v>
      </c>
      <c r="J749" t="b">
        <v>1</v>
      </c>
      <c r="K749" t="s">
        <v>42</v>
      </c>
      <c r="L749" t="s">
        <v>38</v>
      </c>
      <c r="M749" t="s">
        <v>43</v>
      </c>
      <c r="N749">
        <f>YEAR(Table1[[#This Row],[Date]])</f>
        <v>2022</v>
      </c>
      <c r="O749" t="str">
        <f>TEXT(Table1[[#This Row],[Date]],"mmm")</f>
        <v>Sep</v>
      </c>
      <c r="P749" t="str">
        <f>IF(Table1[[#This Row],[Total_Cost]]&lt;25,"low",IF(Table1[[#This Row],[Total_Cost]]&lt;60,"medium","high"))</f>
        <v>high</v>
      </c>
      <c r="Q749" t="str">
        <f>IF(Table1[[#This Row],[Discount_Applied]]=TRUE,"discount applied","no discount")</f>
        <v>discount applied</v>
      </c>
    </row>
    <row r="750" spans="1:17" x14ac:dyDescent="0.3">
      <c r="A750">
        <v>1000000748</v>
      </c>
      <c r="B750" s="1">
        <v>44634.097129629627</v>
      </c>
      <c r="C750" t="s">
        <v>1451</v>
      </c>
      <c r="D750" t="s">
        <v>1452</v>
      </c>
      <c r="E750">
        <v>3</v>
      </c>
      <c r="F750">
        <v>19.45</v>
      </c>
      <c r="G750" t="s">
        <v>23</v>
      </c>
      <c r="H750" t="s">
        <v>129</v>
      </c>
      <c r="I750" t="s">
        <v>59</v>
      </c>
      <c r="J750" t="b">
        <v>1</v>
      </c>
      <c r="K750" t="s">
        <v>51</v>
      </c>
      <c r="L750" t="s">
        <v>27</v>
      </c>
      <c r="M750" t="s">
        <v>43</v>
      </c>
      <c r="N750">
        <f>YEAR(Table1[[#This Row],[Date]])</f>
        <v>2022</v>
      </c>
      <c r="O750" t="str">
        <f>TEXT(Table1[[#This Row],[Date]],"mmm")</f>
        <v>Mar</v>
      </c>
      <c r="P750" t="str">
        <f>IF(Table1[[#This Row],[Total_Cost]]&lt;25,"low",IF(Table1[[#This Row],[Total_Cost]]&lt;60,"medium","high"))</f>
        <v>low</v>
      </c>
      <c r="Q750" t="str">
        <f>IF(Table1[[#This Row],[Discount_Applied]]=TRUE,"discount applied","no discount")</f>
        <v>discount applied</v>
      </c>
    </row>
    <row r="751" spans="1:17" x14ac:dyDescent="0.3">
      <c r="A751">
        <v>1000000749</v>
      </c>
      <c r="B751" s="1">
        <v>44346.484340277777</v>
      </c>
      <c r="C751" t="s">
        <v>1453</v>
      </c>
      <c r="D751" t="s">
        <v>1454</v>
      </c>
      <c r="E751">
        <v>9</v>
      </c>
      <c r="F751">
        <v>36.049999999999997</v>
      </c>
      <c r="G751" t="s">
        <v>41</v>
      </c>
      <c r="H751" t="s">
        <v>70</v>
      </c>
      <c r="I751" t="s">
        <v>33</v>
      </c>
      <c r="J751" t="b">
        <v>1</v>
      </c>
      <c r="K751" t="s">
        <v>47</v>
      </c>
      <c r="L751" t="s">
        <v>19</v>
      </c>
      <c r="M751" t="s">
        <v>28</v>
      </c>
      <c r="N751">
        <f>YEAR(Table1[[#This Row],[Date]])</f>
        <v>2021</v>
      </c>
      <c r="O751" t="str">
        <f>TEXT(Table1[[#This Row],[Date]],"mmm")</f>
        <v>May</v>
      </c>
      <c r="P751" t="str">
        <f>IF(Table1[[#This Row],[Total_Cost]]&lt;25,"low",IF(Table1[[#This Row],[Total_Cost]]&lt;60,"medium","high"))</f>
        <v>medium</v>
      </c>
      <c r="Q751" t="str">
        <f>IF(Table1[[#This Row],[Discount_Applied]]=TRUE,"discount applied","no discount")</f>
        <v>discount applied</v>
      </c>
    </row>
    <row r="752" spans="1:17" x14ac:dyDescent="0.3">
      <c r="A752">
        <v>1000000750</v>
      </c>
      <c r="B752" s="1">
        <v>44744.004351851851</v>
      </c>
      <c r="C752" t="s">
        <v>1455</v>
      </c>
      <c r="D752" t="s">
        <v>1456</v>
      </c>
      <c r="E752">
        <v>2</v>
      </c>
      <c r="F752">
        <v>92.26</v>
      </c>
      <c r="G752" t="s">
        <v>41</v>
      </c>
      <c r="H752" t="s">
        <v>24</v>
      </c>
      <c r="I752" t="s">
        <v>37</v>
      </c>
      <c r="J752" t="b">
        <v>1</v>
      </c>
      <c r="K752" t="s">
        <v>42</v>
      </c>
      <c r="L752" t="s">
        <v>52</v>
      </c>
      <c r="M752" t="s">
        <v>43</v>
      </c>
      <c r="N752">
        <f>YEAR(Table1[[#This Row],[Date]])</f>
        <v>2022</v>
      </c>
      <c r="O752" t="str">
        <f>TEXT(Table1[[#This Row],[Date]],"mmm")</f>
        <v>Jul</v>
      </c>
      <c r="P752" t="str">
        <f>IF(Table1[[#This Row],[Total_Cost]]&lt;25,"low",IF(Table1[[#This Row],[Total_Cost]]&lt;60,"medium","high"))</f>
        <v>high</v>
      </c>
      <c r="Q752" t="str">
        <f>IF(Table1[[#This Row],[Discount_Applied]]=TRUE,"discount applied","no discount")</f>
        <v>discount applied</v>
      </c>
    </row>
    <row r="753" spans="1:17" x14ac:dyDescent="0.3">
      <c r="A753">
        <v>1000000751</v>
      </c>
      <c r="B753" s="1">
        <v>45409.300543981481</v>
      </c>
      <c r="C753" t="s">
        <v>1457</v>
      </c>
      <c r="D753" t="s">
        <v>1458</v>
      </c>
      <c r="E753">
        <v>3</v>
      </c>
      <c r="F753">
        <v>36.72</v>
      </c>
      <c r="G753" t="s">
        <v>23</v>
      </c>
      <c r="H753" t="s">
        <v>36</v>
      </c>
      <c r="I753" t="s">
        <v>46</v>
      </c>
      <c r="J753" t="b">
        <v>0</v>
      </c>
      <c r="K753" t="s">
        <v>80</v>
      </c>
      <c r="L753" t="s">
        <v>52</v>
      </c>
      <c r="M753" t="s">
        <v>28</v>
      </c>
      <c r="N753">
        <f>YEAR(Table1[[#This Row],[Date]])</f>
        <v>2024</v>
      </c>
      <c r="O753" t="str">
        <f>TEXT(Table1[[#This Row],[Date]],"mmm")</f>
        <v>Apr</v>
      </c>
      <c r="P753" t="str">
        <f>IF(Table1[[#This Row],[Total_Cost]]&lt;25,"low",IF(Table1[[#This Row],[Total_Cost]]&lt;60,"medium","high"))</f>
        <v>medium</v>
      </c>
      <c r="Q753" t="str">
        <f>IF(Table1[[#This Row],[Discount_Applied]]=TRUE,"discount applied","no discount")</f>
        <v>no discount</v>
      </c>
    </row>
    <row r="754" spans="1:17" x14ac:dyDescent="0.3">
      <c r="A754">
        <v>1000000752</v>
      </c>
      <c r="B754" s="1">
        <v>45112.968159722222</v>
      </c>
      <c r="C754" t="s">
        <v>1459</v>
      </c>
      <c r="D754" t="s">
        <v>1460</v>
      </c>
      <c r="E754">
        <v>8</v>
      </c>
      <c r="F754">
        <v>54.67</v>
      </c>
      <c r="G754" t="s">
        <v>41</v>
      </c>
      <c r="H754" t="s">
        <v>50</v>
      </c>
      <c r="I754" t="s">
        <v>25</v>
      </c>
      <c r="J754" t="b">
        <v>0</v>
      </c>
      <c r="K754" t="s">
        <v>51</v>
      </c>
      <c r="L754" t="s">
        <v>38</v>
      </c>
      <c r="M754" t="s">
        <v>20</v>
      </c>
      <c r="N754">
        <f>YEAR(Table1[[#This Row],[Date]])</f>
        <v>2023</v>
      </c>
      <c r="O754" t="str">
        <f>TEXT(Table1[[#This Row],[Date]],"mmm")</f>
        <v>Jul</v>
      </c>
      <c r="P754" t="str">
        <f>IF(Table1[[#This Row],[Total_Cost]]&lt;25,"low",IF(Table1[[#This Row],[Total_Cost]]&lt;60,"medium","high"))</f>
        <v>medium</v>
      </c>
      <c r="Q754" t="str">
        <f>IF(Table1[[#This Row],[Discount_Applied]]=TRUE,"discount applied","no discount")</f>
        <v>no discount</v>
      </c>
    </row>
    <row r="755" spans="1:17" x14ac:dyDescent="0.3">
      <c r="A755">
        <v>1000000753</v>
      </c>
      <c r="B755" s="1">
        <v>44181.066874999997</v>
      </c>
      <c r="C755" t="s">
        <v>1461</v>
      </c>
      <c r="D755" t="s">
        <v>193</v>
      </c>
      <c r="E755">
        <v>9</v>
      </c>
      <c r="F755">
        <v>28.6</v>
      </c>
      <c r="G755" t="s">
        <v>41</v>
      </c>
      <c r="H755" t="s">
        <v>16</v>
      </c>
      <c r="I755" t="s">
        <v>33</v>
      </c>
      <c r="J755" t="b">
        <v>0</v>
      </c>
      <c r="K755" t="s">
        <v>47</v>
      </c>
      <c r="L755" t="s">
        <v>38</v>
      </c>
      <c r="M755" t="s">
        <v>28</v>
      </c>
      <c r="N755">
        <f>YEAR(Table1[[#This Row],[Date]])</f>
        <v>2020</v>
      </c>
      <c r="O755" t="str">
        <f>TEXT(Table1[[#This Row],[Date]],"mmm")</f>
        <v>Dec</v>
      </c>
      <c r="P755" t="str">
        <f>IF(Table1[[#This Row],[Total_Cost]]&lt;25,"low",IF(Table1[[#This Row],[Total_Cost]]&lt;60,"medium","high"))</f>
        <v>medium</v>
      </c>
      <c r="Q755" t="str">
        <f>IF(Table1[[#This Row],[Discount_Applied]]=TRUE,"discount applied","no discount")</f>
        <v>no discount</v>
      </c>
    </row>
    <row r="756" spans="1:17" x14ac:dyDescent="0.3">
      <c r="A756">
        <v>1000000754</v>
      </c>
      <c r="B756" s="1">
        <v>43839.971377314818</v>
      </c>
      <c r="C756" t="s">
        <v>1462</v>
      </c>
      <c r="D756" t="s">
        <v>1463</v>
      </c>
      <c r="E756">
        <v>2</v>
      </c>
      <c r="F756">
        <v>93.45</v>
      </c>
      <c r="G756" t="s">
        <v>23</v>
      </c>
      <c r="H756" t="s">
        <v>24</v>
      </c>
      <c r="I756" t="s">
        <v>25</v>
      </c>
      <c r="J756" t="b">
        <v>1</v>
      </c>
      <c r="K756" t="s">
        <v>26</v>
      </c>
      <c r="L756" t="s">
        <v>19</v>
      </c>
      <c r="M756" t="s">
        <v>28</v>
      </c>
      <c r="N756">
        <f>YEAR(Table1[[#This Row],[Date]])</f>
        <v>2020</v>
      </c>
      <c r="O756" t="str">
        <f>TEXT(Table1[[#This Row],[Date]],"mmm")</f>
        <v>Jan</v>
      </c>
      <c r="P756" t="str">
        <f>IF(Table1[[#This Row],[Total_Cost]]&lt;25,"low",IF(Table1[[#This Row],[Total_Cost]]&lt;60,"medium","high"))</f>
        <v>high</v>
      </c>
      <c r="Q756" t="str">
        <f>IF(Table1[[#This Row],[Discount_Applied]]=TRUE,"discount applied","no discount")</f>
        <v>discount applied</v>
      </c>
    </row>
    <row r="757" spans="1:17" x14ac:dyDescent="0.3">
      <c r="A757">
        <v>1000000755</v>
      </c>
      <c r="B757" s="1">
        <v>44130.484178240738</v>
      </c>
      <c r="C757" t="s">
        <v>1464</v>
      </c>
      <c r="D757" t="s">
        <v>1465</v>
      </c>
      <c r="E757">
        <v>6</v>
      </c>
      <c r="F757">
        <v>48.91</v>
      </c>
      <c r="G757" t="s">
        <v>31</v>
      </c>
      <c r="H757" t="s">
        <v>50</v>
      </c>
      <c r="I757" t="s">
        <v>37</v>
      </c>
      <c r="J757" t="b">
        <v>0</v>
      </c>
      <c r="K757" t="s">
        <v>42</v>
      </c>
      <c r="L757" t="s">
        <v>27</v>
      </c>
      <c r="M757" t="s">
        <v>28</v>
      </c>
      <c r="N757">
        <f>YEAR(Table1[[#This Row],[Date]])</f>
        <v>2020</v>
      </c>
      <c r="O757" t="str">
        <f>TEXT(Table1[[#This Row],[Date]],"mmm")</f>
        <v>Oct</v>
      </c>
      <c r="P757" t="str">
        <f>IF(Table1[[#This Row],[Total_Cost]]&lt;25,"low",IF(Table1[[#This Row],[Total_Cost]]&lt;60,"medium","high"))</f>
        <v>medium</v>
      </c>
      <c r="Q757" t="str">
        <f>IF(Table1[[#This Row],[Discount_Applied]]=TRUE,"discount applied","no discount")</f>
        <v>no discount</v>
      </c>
    </row>
    <row r="758" spans="1:17" x14ac:dyDescent="0.3">
      <c r="A758">
        <v>1000000756</v>
      </c>
      <c r="B758" s="1">
        <v>45137.606828703705</v>
      </c>
      <c r="C758" t="s">
        <v>1466</v>
      </c>
      <c r="D758" t="s">
        <v>1467</v>
      </c>
      <c r="E758">
        <v>9</v>
      </c>
      <c r="F758">
        <v>89.75</v>
      </c>
      <c r="G758" t="s">
        <v>23</v>
      </c>
      <c r="H758" t="s">
        <v>70</v>
      </c>
      <c r="I758" t="s">
        <v>25</v>
      </c>
      <c r="J758" t="b">
        <v>0</v>
      </c>
      <c r="K758" t="s">
        <v>42</v>
      </c>
      <c r="L758" t="s">
        <v>38</v>
      </c>
      <c r="M758" t="s">
        <v>43</v>
      </c>
      <c r="N758">
        <f>YEAR(Table1[[#This Row],[Date]])</f>
        <v>2023</v>
      </c>
      <c r="O758" t="str">
        <f>TEXT(Table1[[#This Row],[Date]],"mmm")</f>
        <v>Jul</v>
      </c>
      <c r="P758" t="str">
        <f>IF(Table1[[#This Row],[Total_Cost]]&lt;25,"low",IF(Table1[[#This Row],[Total_Cost]]&lt;60,"medium","high"))</f>
        <v>high</v>
      </c>
      <c r="Q758" t="str">
        <f>IF(Table1[[#This Row],[Discount_Applied]]=TRUE,"discount applied","no discount")</f>
        <v>no discount</v>
      </c>
    </row>
    <row r="759" spans="1:17" x14ac:dyDescent="0.3">
      <c r="A759">
        <v>1000000757</v>
      </c>
      <c r="B759" s="1">
        <v>44072.695393518516</v>
      </c>
      <c r="C759" t="s">
        <v>1468</v>
      </c>
      <c r="D759" t="s">
        <v>1469</v>
      </c>
      <c r="E759">
        <v>3</v>
      </c>
      <c r="F759">
        <v>73.13</v>
      </c>
      <c r="G759" t="s">
        <v>31</v>
      </c>
      <c r="H759" t="s">
        <v>129</v>
      </c>
      <c r="I759" t="s">
        <v>33</v>
      </c>
      <c r="J759" t="b">
        <v>0</v>
      </c>
      <c r="K759" t="s">
        <v>62</v>
      </c>
      <c r="L759" t="s">
        <v>38</v>
      </c>
      <c r="M759" t="s">
        <v>28</v>
      </c>
      <c r="N759">
        <f>YEAR(Table1[[#This Row],[Date]])</f>
        <v>2020</v>
      </c>
      <c r="O759" t="str">
        <f>TEXT(Table1[[#This Row],[Date]],"mmm")</f>
        <v>Aug</v>
      </c>
      <c r="P759" t="str">
        <f>IF(Table1[[#This Row],[Total_Cost]]&lt;25,"low",IF(Table1[[#This Row],[Total_Cost]]&lt;60,"medium","high"))</f>
        <v>high</v>
      </c>
      <c r="Q759" t="str">
        <f>IF(Table1[[#This Row],[Discount_Applied]]=TRUE,"discount applied","no discount")</f>
        <v>no discount</v>
      </c>
    </row>
    <row r="760" spans="1:17" x14ac:dyDescent="0.3">
      <c r="A760">
        <v>1000000758</v>
      </c>
      <c r="B760" s="1">
        <v>45361.824131944442</v>
      </c>
      <c r="C760" t="s">
        <v>1470</v>
      </c>
      <c r="D760" t="s">
        <v>558</v>
      </c>
      <c r="E760">
        <v>3</v>
      </c>
      <c r="F760">
        <v>92.94</v>
      </c>
      <c r="G760" t="s">
        <v>41</v>
      </c>
      <c r="H760" t="s">
        <v>36</v>
      </c>
      <c r="I760" t="s">
        <v>59</v>
      </c>
      <c r="J760" t="b">
        <v>0</v>
      </c>
      <c r="K760" t="s">
        <v>51</v>
      </c>
      <c r="L760" t="s">
        <v>27</v>
      </c>
      <c r="M760" t="s">
        <v>43</v>
      </c>
      <c r="N760">
        <f>YEAR(Table1[[#This Row],[Date]])</f>
        <v>2024</v>
      </c>
      <c r="O760" t="str">
        <f>TEXT(Table1[[#This Row],[Date]],"mmm")</f>
        <v>Mar</v>
      </c>
      <c r="P760" t="str">
        <f>IF(Table1[[#This Row],[Total_Cost]]&lt;25,"low",IF(Table1[[#This Row],[Total_Cost]]&lt;60,"medium","high"))</f>
        <v>high</v>
      </c>
      <c r="Q760" t="str">
        <f>IF(Table1[[#This Row],[Discount_Applied]]=TRUE,"discount applied","no discount")</f>
        <v>no discount</v>
      </c>
    </row>
    <row r="761" spans="1:17" x14ac:dyDescent="0.3">
      <c r="A761">
        <v>1000000759</v>
      </c>
      <c r="B761" s="1">
        <v>44347.245555555557</v>
      </c>
      <c r="C761" t="s">
        <v>1471</v>
      </c>
      <c r="D761" t="s">
        <v>1472</v>
      </c>
      <c r="E761">
        <v>9</v>
      </c>
      <c r="F761">
        <v>98.61</v>
      </c>
      <c r="G761" t="s">
        <v>31</v>
      </c>
      <c r="H761" t="s">
        <v>70</v>
      </c>
      <c r="I761" t="s">
        <v>17</v>
      </c>
      <c r="J761" t="b">
        <v>0</v>
      </c>
      <c r="K761" t="s">
        <v>26</v>
      </c>
      <c r="L761" t="s">
        <v>27</v>
      </c>
      <c r="M761" t="s">
        <v>20</v>
      </c>
      <c r="N761">
        <f>YEAR(Table1[[#This Row],[Date]])</f>
        <v>2021</v>
      </c>
      <c r="O761" t="str">
        <f>TEXT(Table1[[#This Row],[Date]],"mmm")</f>
        <v>May</v>
      </c>
      <c r="P761" t="str">
        <f>IF(Table1[[#This Row],[Total_Cost]]&lt;25,"low",IF(Table1[[#This Row],[Total_Cost]]&lt;60,"medium","high"))</f>
        <v>high</v>
      </c>
      <c r="Q761" t="str">
        <f>IF(Table1[[#This Row],[Discount_Applied]]=TRUE,"discount applied","no discount")</f>
        <v>no discount</v>
      </c>
    </row>
    <row r="762" spans="1:17" x14ac:dyDescent="0.3">
      <c r="A762">
        <v>1000000760</v>
      </c>
      <c r="B762" s="1">
        <v>44948.054548611108</v>
      </c>
      <c r="C762" t="s">
        <v>1473</v>
      </c>
      <c r="D762" t="s">
        <v>1474</v>
      </c>
      <c r="E762">
        <v>6</v>
      </c>
      <c r="F762">
        <v>13.1</v>
      </c>
      <c r="G762" t="s">
        <v>15</v>
      </c>
      <c r="H762" t="s">
        <v>129</v>
      </c>
      <c r="I762" t="s">
        <v>17</v>
      </c>
      <c r="J762" t="b">
        <v>0</v>
      </c>
      <c r="K762" t="s">
        <v>18</v>
      </c>
      <c r="L762" t="s">
        <v>38</v>
      </c>
      <c r="M762" t="s">
        <v>20</v>
      </c>
      <c r="N762">
        <f>YEAR(Table1[[#This Row],[Date]])</f>
        <v>2023</v>
      </c>
      <c r="O762" t="str">
        <f>TEXT(Table1[[#This Row],[Date]],"mmm")</f>
        <v>Jan</v>
      </c>
      <c r="P762" t="str">
        <f>IF(Table1[[#This Row],[Total_Cost]]&lt;25,"low",IF(Table1[[#This Row],[Total_Cost]]&lt;60,"medium","high"))</f>
        <v>low</v>
      </c>
      <c r="Q762" t="str">
        <f>IF(Table1[[#This Row],[Discount_Applied]]=TRUE,"discount applied","no discount")</f>
        <v>no discount</v>
      </c>
    </row>
    <row r="763" spans="1:17" x14ac:dyDescent="0.3">
      <c r="A763">
        <v>1000000761</v>
      </c>
      <c r="B763" s="1">
        <v>43950.588645833333</v>
      </c>
      <c r="C763" t="s">
        <v>477</v>
      </c>
      <c r="D763" t="s">
        <v>1475</v>
      </c>
      <c r="E763">
        <v>8</v>
      </c>
      <c r="F763">
        <v>9.8000000000000007</v>
      </c>
      <c r="G763" t="s">
        <v>41</v>
      </c>
      <c r="H763" t="s">
        <v>16</v>
      </c>
      <c r="I763" t="s">
        <v>46</v>
      </c>
      <c r="J763" t="b">
        <v>0</v>
      </c>
      <c r="K763" t="s">
        <v>62</v>
      </c>
      <c r="L763" t="s">
        <v>19</v>
      </c>
      <c r="M763" t="s">
        <v>28</v>
      </c>
      <c r="N763">
        <f>YEAR(Table1[[#This Row],[Date]])</f>
        <v>2020</v>
      </c>
      <c r="O763" t="str">
        <f>TEXT(Table1[[#This Row],[Date]],"mmm")</f>
        <v>Apr</v>
      </c>
      <c r="P763" t="str">
        <f>IF(Table1[[#This Row],[Total_Cost]]&lt;25,"low",IF(Table1[[#This Row],[Total_Cost]]&lt;60,"medium","high"))</f>
        <v>low</v>
      </c>
      <c r="Q763" t="str">
        <f>IF(Table1[[#This Row],[Discount_Applied]]=TRUE,"discount applied","no discount")</f>
        <v>no discount</v>
      </c>
    </row>
    <row r="764" spans="1:17" x14ac:dyDescent="0.3">
      <c r="A764">
        <v>1000000762</v>
      </c>
      <c r="B764" s="1">
        <v>44803.080451388887</v>
      </c>
      <c r="C764" t="s">
        <v>1476</v>
      </c>
      <c r="D764" t="s">
        <v>1477</v>
      </c>
      <c r="E764">
        <v>8</v>
      </c>
      <c r="F764">
        <v>77.31</v>
      </c>
      <c r="G764" t="s">
        <v>15</v>
      </c>
      <c r="H764" t="s">
        <v>65</v>
      </c>
      <c r="I764" t="s">
        <v>25</v>
      </c>
      <c r="J764" t="b">
        <v>0</v>
      </c>
      <c r="K764" t="s">
        <v>80</v>
      </c>
      <c r="L764" t="s">
        <v>38</v>
      </c>
      <c r="M764" t="s">
        <v>43</v>
      </c>
      <c r="N764">
        <f>YEAR(Table1[[#This Row],[Date]])</f>
        <v>2022</v>
      </c>
      <c r="O764" t="str">
        <f>TEXT(Table1[[#This Row],[Date]],"mmm")</f>
        <v>Aug</v>
      </c>
      <c r="P764" t="str">
        <f>IF(Table1[[#This Row],[Total_Cost]]&lt;25,"low",IF(Table1[[#This Row],[Total_Cost]]&lt;60,"medium","high"))</f>
        <v>high</v>
      </c>
      <c r="Q764" t="str">
        <f>IF(Table1[[#This Row],[Discount_Applied]]=TRUE,"discount applied","no discount")</f>
        <v>no discount</v>
      </c>
    </row>
    <row r="765" spans="1:17" x14ac:dyDescent="0.3">
      <c r="A765">
        <v>1000000763</v>
      </c>
      <c r="B765" s="1">
        <v>44885.270092592589</v>
      </c>
      <c r="C765" t="s">
        <v>1478</v>
      </c>
      <c r="D765" t="s">
        <v>558</v>
      </c>
      <c r="E765">
        <v>3</v>
      </c>
      <c r="F765">
        <v>36.729999999999997</v>
      </c>
      <c r="G765" t="s">
        <v>15</v>
      </c>
      <c r="H765" t="s">
        <v>70</v>
      </c>
      <c r="I765" t="s">
        <v>46</v>
      </c>
      <c r="J765" t="b">
        <v>0</v>
      </c>
      <c r="K765" t="s">
        <v>47</v>
      </c>
      <c r="L765" t="s">
        <v>19</v>
      </c>
      <c r="M765" t="s">
        <v>28</v>
      </c>
      <c r="N765">
        <f>YEAR(Table1[[#This Row],[Date]])</f>
        <v>2022</v>
      </c>
      <c r="O765" t="str">
        <f>TEXT(Table1[[#This Row],[Date]],"mmm")</f>
        <v>Nov</v>
      </c>
      <c r="P765" t="str">
        <f>IF(Table1[[#This Row],[Total_Cost]]&lt;25,"low",IF(Table1[[#This Row],[Total_Cost]]&lt;60,"medium","high"))</f>
        <v>medium</v>
      </c>
      <c r="Q765" t="str">
        <f>IF(Table1[[#This Row],[Discount_Applied]]=TRUE,"discount applied","no discount")</f>
        <v>no discount</v>
      </c>
    </row>
    <row r="766" spans="1:17" x14ac:dyDescent="0.3">
      <c r="A766">
        <v>1000000764</v>
      </c>
      <c r="B766" s="1">
        <v>44066.700277777774</v>
      </c>
      <c r="C766" t="s">
        <v>1479</v>
      </c>
      <c r="D766" t="s">
        <v>1480</v>
      </c>
      <c r="E766">
        <v>10</v>
      </c>
      <c r="F766">
        <v>50.57</v>
      </c>
      <c r="G766" t="s">
        <v>41</v>
      </c>
      <c r="H766" t="s">
        <v>70</v>
      </c>
      <c r="I766" t="s">
        <v>37</v>
      </c>
      <c r="J766" t="b">
        <v>1</v>
      </c>
      <c r="K766" t="s">
        <v>87</v>
      </c>
      <c r="L766" t="s">
        <v>38</v>
      </c>
      <c r="M766" t="s">
        <v>28</v>
      </c>
      <c r="N766">
        <f>YEAR(Table1[[#This Row],[Date]])</f>
        <v>2020</v>
      </c>
      <c r="O766" t="str">
        <f>TEXT(Table1[[#This Row],[Date]],"mmm")</f>
        <v>Aug</v>
      </c>
      <c r="P766" t="str">
        <f>IF(Table1[[#This Row],[Total_Cost]]&lt;25,"low",IF(Table1[[#This Row],[Total_Cost]]&lt;60,"medium","high"))</f>
        <v>medium</v>
      </c>
      <c r="Q766" t="str">
        <f>IF(Table1[[#This Row],[Discount_Applied]]=TRUE,"discount applied","no discount")</f>
        <v>discount applied</v>
      </c>
    </row>
    <row r="767" spans="1:17" x14ac:dyDescent="0.3">
      <c r="A767">
        <v>1000000765</v>
      </c>
      <c r="B767" s="1">
        <v>45027.286793981482</v>
      </c>
      <c r="C767" t="s">
        <v>1481</v>
      </c>
      <c r="D767" t="s">
        <v>1482</v>
      </c>
      <c r="E767">
        <v>10</v>
      </c>
      <c r="F767">
        <v>55.67</v>
      </c>
      <c r="G767" t="s">
        <v>23</v>
      </c>
      <c r="H767" t="s">
        <v>96</v>
      </c>
      <c r="I767" t="s">
        <v>33</v>
      </c>
      <c r="J767" t="b">
        <v>1</v>
      </c>
      <c r="K767" t="s">
        <v>18</v>
      </c>
      <c r="L767" t="s">
        <v>38</v>
      </c>
      <c r="M767" t="s">
        <v>20</v>
      </c>
      <c r="N767">
        <f>YEAR(Table1[[#This Row],[Date]])</f>
        <v>2023</v>
      </c>
      <c r="O767" t="str">
        <f>TEXT(Table1[[#This Row],[Date]],"mmm")</f>
        <v>Apr</v>
      </c>
      <c r="P767" t="str">
        <f>IF(Table1[[#This Row],[Total_Cost]]&lt;25,"low",IF(Table1[[#This Row],[Total_Cost]]&lt;60,"medium","high"))</f>
        <v>medium</v>
      </c>
      <c r="Q767" t="str">
        <f>IF(Table1[[#This Row],[Discount_Applied]]=TRUE,"discount applied","no discount")</f>
        <v>discount applied</v>
      </c>
    </row>
    <row r="768" spans="1:17" x14ac:dyDescent="0.3">
      <c r="A768">
        <v>1000000766</v>
      </c>
      <c r="B768" s="1">
        <v>44490.737395833334</v>
      </c>
      <c r="C768" t="s">
        <v>1483</v>
      </c>
      <c r="D768" t="s">
        <v>1484</v>
      </c>
      <c r="E768">
        <v>7</v>
      </c>
      <c r="F768">
        <v>50.98</v>
      </c>
      <c r="G768" t="s">
        <v>15</v>
      </c>
      <c r="H768" t="s">
        <v>16</v>
      </c>
      <c r="I768" t="s">
        <v>46</v>
      </c>
      <c r="J768" t="b">
        <v>1</v>
      </c>
      <c r="K768" t="s">
        <v>26</v>
      </c>
      <c r="L768" t="s">
        <v>38</v>
      </c>
      <c r="M768" t="s">
        <v>43</v>
      </c>
      <c r="N768">
        <f>YEAR(Table1[[#This Row],[Date]])</f>
        <v>2021</v>
      </c>
      <c r="O768" t="str">
        <f>TEXT(Table1[[#This Row],[Date]],"mmm")</f>
        <v>Oct</v>
      </c>
      <c r="P768" t="str">
        <f>IF(Table1[[#This Row],[Total_Cost]]&lt;25,"low",IF(Table1[[#This Row],[Total_Cost]]&lt;60,"medium","high"))</f>
        <v>medium</v>
      </c>
      <c r="Q768" t="str">
        <f>IF(Table1[[#This Row],[Discount_Applied]]=TRUE,"discount applied","no discount")</f>
        <v>discount applied</v>
      </c>
    </row>
    <row r="769" spans="1:17" x14ac:dyDescent="0.3">
      <c r="A769">
        <v>1000000767</v>
      </c>
      <c r="B769" s="1">
        <v>44808.018321759257</v>
      </c>
      <c r="C769" t="s">
        <v>1485</v>
      </c>
      <c r="D769" t="s">
        <v>1486</v>
      </c>
      <c r="E769">
        <v>8</v>
      </c>
      <c r="F769">
        <v>99.47</v>
      </c>
      <c r="G769" t="s">
        <v>31</v>
      </c>
      <c r="H769" t="s">
        <v>24</v>
      </c>
      <c r="I769" t="s">
        <v>25</v>
      </c>
      <c r="J769" t="b">
        <v>0</v>
      </c>
      <c r="K769" t="s">
        <v>80</v>
      </c>
      <c r="L769" t="s">
        <v>19</v>
      </c>
      <c r="M769" t="s">
        <v>20</v>
      </c>
      <c r="N769">
        <f>YEAR(Table1[[#This Row],[Date]])</f>
        <v>2022</v>
      </c>
      <c r="O769" t="str">
        <f>TEXT(Table1[[#This Row],[Date]],"mmm")</f>
        <v>Sep</v>
      </c>
      <c r="P769" t="str">
        <f>IF(Table1[[#This Row],[Total_Cost]]&lt;25,"low",IF(Table1[[#This Row],[Total_Cost]]&lt;60,"medium","high"))</f>
        <v>high</v>
      </c>
      <c r="Q769" t="str">
        <f>IF(Table1[[#This Row],[Discount_Applied]]=TRUE,"discount applied","no discount")</f>
        <v>no discount</v>
      </c>
    </row>
    <row r="770" spans="1:17" x14ac:dyDescent="0.3">
      <c r="A770">
        <v>1000000768</v>
      </c>
      <c r="B770" s="1">
        <v>44180.430277777778</v>
      </c>
      <c r="C770" t="s">
        <v>1487</v>
      </c>
      <c r="D770" t="s">
        <v>1488</v>
      </c>
      <c r="E770">
        <v>1</v>
      </c>
      <c r="F770">
        <v>69.260000000000005</v>
      </c>
      <c r="G770" t="s">
        <v>23</v>
      </c>
      <c r="H770" t="s">
        <v>24</v>
      </c>
      <c r="I770" t="s">
        <v>37</v>
      </c>
      <c r="J770" t="b">
        <v>0</v>
      </c>
      <c r="K770" t="s">
        <v>26</v>
      </c>
      <c r="L770" t="s">
        <v>52</v>
      </c>
      <c r="M770" t="s">
        <v>28</v>
      </c>
      <c r="N770">
        <f>YEAR(Table1[[#This Row],[Date]])</f>
        <v>2020</v>
      </c>
      <c r="O770" t="str">
        <f>TEXT(Table1[[#This Row],[Date]],"mmm")</f>
        <v>Dec</v>
      </c>
      <c r="P770" t="str">
        <f>IF(Table1[[#This Row],[Total_Cost]]&lt;25,"low",IF(Table1[[#This Row],[Total_Cost]]&lt;60,"medium","high"))</f>
        <v>high</v>
      </c>
      <c r="Q770" t="str">
        <f>IF(Table1[[#This Row],[Discount_Applied]]=TRUE,"discount applied","no discount")</f>
        <v>no discount</v>
      </c>
    </row>
    <row r="771" spans="1:17" x14ac:dyDescent="0.3">
      <c r="A771">
        <v>1000000769</v>
      </c>
      <c r="B771" s="1">
        <v>43855.894652777781</v>
      </c>
      <c r="C771" t="s">
        <v>1489</v>
      </c>
      <c r="D771" t="s">
        <v>1490</v>
      </c>
      <c r="E771">
        <v>4</v>
      </c>
      <c r="F771">
        <v>72.33</v>
      </c>
      <c r="G771" t="s">
        <v>41</v>
      </c>
      <c r="H771" t="s">
        <v>16</v>
      </c>
      <c r="I771" t="s">
        <v>46</v>
      </c>
      <c r="J771" t="b">
        <v>1</v>
      </c>
      <c r="K771" t="s">
        <v>26</v>
      </c>
      <c r="L771" t="s">
        <v>19</v>
      </c>
      <c r="M771" t="s">
        <v>20</v>
      </c>
      <c r="N771">
        <f>YEAR(Table1[[#This Row],[Date]])</f>
        <v>2020</v>
      </c>
      <c r="O771" t="str">
        <f>TEXT(Table1[[#This Row],[Date]],"mmm")</f>
        <v>Jan</v>
      </c>
      <c r="P771" t="str">
        <f>IF(Table1[[#This Row],[Total_Cost]]&lt;25,"low",IF(Table1[[#This Row],[Total_Cost]]&lt;60,"medium","high"))</f>
        <v>high</v>
      </c>
      <c r="Q771" t="str">
        <f>IF(Table1[[#This Row],[Discount_Applied]]=TRUE,"discount applied","no discount")</f>
        <v>discount applied</v>
      </c>
    </row>
    <row r="772" spans="1:17" x14ac:dyDescent="0.3">
      <c r="A772">
        <v>1000000770</v>
      </c>
      <c r="B772" s="1">
        <v>43905.496979166666</v>
      </c>
      <c r="C772" t="s">
        <v>1491</v>
      </c>
      <c r="D772" t="s">
        <v>1492</v>
      </c>
      <c r="E772">
        <v>5</v>
      </c>
      <c r="F772">
        <v>46.76</v>
      </c>
      <c r="G772" t="s">
        <v>23</v>
      </c>
      <c r="H772" t="s">
        <v>65</v>
      </c>
      <c r="I772" t="s">
        <v>37</v>
      </c>
      <c r="J772" t="b">
        <v>0</v>
      </c>
      <c r="K772" t="s">
        <v>62</v>
      </c>
      <c r="L772" t="s">
        <v>27</v>
      </c>
      <c r="M772" t="s">
        <v>43</v>
      </c>
      <c r="N772">
        <f>YEAR(Table1[[#This Row],[Date]])</f>
        <v>2020</v>
      </c>
      <c r="O772" t="str">
        <f>TEXT(Table1[[#This Row],[Date]],"mmm")</f>
        <v>Mar</v>
      </c>
      <c r="P772" t="str">
        <f>IF(Table1[[#This Row],[Total_Cost]]&lt;25,"low",IF(Table1[[#This Row],[Total_Cost]]&lt;60,"medium","high"))</f>
        <v>medium</v>
      </c>
      <c r="Q772" t="str">
        <f>IF(Table1[[#This Row],[Discount_Applied]]=TRUE,"discount applied","no discount")</f>
        <v>no discount</v>
      </c>
    </row>
    <row r="773" spans="1:17" x14ac:dyDescent="0.3">
      <c r="A773">
        <v>1000000771</v>
      </c>
      <c r="B773" s="1">
        <v>44429.933020833334</v>
      </c>
      <c r="C773" t="s">
        <v>1493</v>
      </c>
      <c r="D773" t="s">
        <v>1494</v>
      </c>
      <c r="E773">
        <v>6</v>
      </c>
      <c r="F773">
        <v>65.67</v>
      </c>
      <c r="G773" t="s">
        <v>15</v>
      </c>
      <c r="H773" t="s">
        <v>65</v>
      </c>
      <c r="I773" t="s">
        <v>17</v>
      </c>
      <c r="J773" t="b">
        <v>1</v>
      </c>
      <c r="K773" t="s">
        <v>18</v>
      </c>
      <c r="L773" t="s">
        <v>19</v>
      </c>
      <c r="M773" t="s">
        <v>20</v>
      </c>
      <c r="N773">
        <f>YEAR(Table1[[#This Row],[Date]])</f>
        <v>2021</v>
      </c>
      <c r="O773" t="str">
        <f>TEXT(Table1[[#This Row],[Date]],"mmm")</f>
        <v>Aug</v>
      </c>
      <c r="P773" t="str">
        <f>IF(Table1[[#This Row],[Total_Cost]]&lt;25,"low",IF(Table1[[#This Row],[Total_Cost]]&lt;60,"medium","high"))</f>
        <v>high</v>
      </c>
      <c r="Q773" t="str">
        <f>IF(Table1[[#This Row],[Discount_Applied]]=TRUE,"discount applied","no discount")</f>
        <v>discount applied</v>
      </c>
    </row>
    <row r="774" spans="1:17" x14ac:dyDescent="0.3">
      <c r="A774">
        <v>1000000772</v>
      </c>
      <c r="B774" s="1">
        <v>44160.401342592595</v>
      </c>
      <c r="C774" t="s">
        <v>1495</v>
      </c>
      <c r="D774" t="s">
        <v>1496</v>
      </c>
      <c r="E774">
        <v>1</v>
      </c>
      <c r="F774">
        <v>86.7</v>
      </c>
      <c r="G774" t="s">
        <v>31</v>
      </c>
      <c r="H774" t="s">
        <v>36</v>
      </c>
      <c r="I774" t="s">
        <v>37</v>
      </c>
      <c r="J774" t="b">
        <v>0</v>
      </c>
      <c r="K774" t="s">
        <v>26</v>
      </c>
      <c r="L774" t="s">
        <v>38</v>
      </c>
      <c r="M774" t="s">
        <v>20</v>
      </c>
      <c r="N774">
        <f>YEAR(Table1[[#This Row],[Date]])</f>
        <v>2020</v>
      </c>
      <c r="O774" t="str">
        <f>TEXT(Table1[[#This Row],[Date]],"mmm")</f>
        <v>Nov</v>
      </c>
      <c r="P774" t="str">
        <f>IF(Table1[[#This Row],[Total_Cost]]&lt;25,"low",IF(Table1[[#This Row],[Total_Cost]]&lt;60,"medium","high"))</f>
        <v>high</v>
      </c>
      <c r="Q774" t="str">
        <f>IF(Table1[[#This Row],[Discount_Applied]]=TRUE,"discount applied","no discount")</f>
        <v>no discount</v>
      </c>
    </row>
    <row r="775" spans="1:17" x14ac:dyDescent="0.3">
      <c r="A775">
        <v>1000000773</v>
      </c>
      <c r="B775" s="1">
        <v>44069.074097222219</v>
      </c>
      <c r="C775" t="s">
        <v>1497</v>
      </c>
      <c r="D775" t="s">
        <v>1498</v>
      </c>
      <c r="E775">
        <v>2</v>
      </c>
      <c r="F775">
        <v>69.709999999999994</v>
      </c>
      <c r="G775" t="s">
        <v>15</v>
      </c>
      <c r="H775" t="s">
        <v>77</v>
      </c>
      <c r="I775" t="s">
        <v>59</v>
      </c>
      <c r="J775" t="b">
        <v>0</v>
      </c>
      <c r="K775" t="s">
        <v>62</v>
      </c>
      <c r="L775" t="s">
        <v>27</v>
      </c>
      <c r="M775" t="s">
        <v>20</v>
      </c>
      <c r="N775">
        <f>YEAR(Table1[[#This Row],[Date]])</f>
        <v>2020</v>
      </c>
      <c r="O775" t="str">
        <f>TEXT(Table1[[#This Row],[Date]],"mmm")</f>
        <v>Aug</v>
      </c>
      <c r="P775" t="str">
        <f>IF(Table1[[#This Row],[Total_Cost]]&lt;25,"low",IF(Table1[[#This Row],[Total_Cost]]&lt;60,"medium","high"))</f>
        <v>high</v>
      </c>
      <c r="Q775" t="str">
        <f>IF(Table1[[#This Row],[Discount_Applied]]=TRUE,"discount applied","no discount")</f>
        <v>no discount</v>
      </c>
    </row>
    <row r="776" spans="1:17" x14ac:dyDescent="0.3">
      <c r="A776">
        <v>1000000774</v>
      </c>
      <c r="B776" s="1">
        <v>45409.642083333332</v>
      </c>
      <c r="C776" t="s">
        <v>1499</v>
      </c>
      <c r="D776" t="s">
        <v>1500</v>
      </c>
      <c r="E776">
        <v>8</v>
      </c>
      <c r="F776">
        <v>55.47</v>
      </c>
      <c r="G776" t="s">
        <v>31</v>
      </c>
      <c r="H776" t="s">
        <v>32</v>
      </c>
      <c r="I776" t="s">
        <v>59</v>
      </c>
      <c r="J776" t="b">
        <v>0</v>
      </c>
      <c r="K776" t="s">
        <v>80</v>
      </c>
      <c r="L776" t="s">
        <v>38</v>
      </c>
      <c r="M776" t="s">
        <v>28</v>
      </c>
      <c r="N776">
        <f>YEAR(Table1[[#This Row],[Date]])</f>
        <v>2024</v>
      </c>
      <c r="O776" t="str">
        <f>TEXT(Table1[[#This Row],[Date]],"mmm")</f>
        <v>Apr</v>
      </c>
      <c r="P776" t="str">
        <f>IF(Table1[[#This Row],[Total_Cost]]&lt;25,"low",IF(Table1[[#This Row],[Total_Cost]]&lt;60,"medium","high"))</f>
        <v>medium</v>
      </c>
      <c r="Q776" t="str">
        <f>IF(Table1[[#This Row],[Discount_Applied]]=TRUE,"discount applied","no discount")</f>
        <v>no discount</v>
      </c>
    </row>
    <row r="777" spans="1:17" x14ac:dyDescent="0.3">
      <c r="A777">
        <v>1000000775</v>
      </c>
      <c r="B777" s="1">
        <v>44970.707187499997</v>
      </c>
      <c r="C777" t="s">
        <v>1501</v>
      </c>
      <c r="D777" t="s">
        <v>1502</v>
      </c>
      <c r="E777">
        <v>9</v>
      </c>
      <c r="F777">
        <v>99.02</v>
      </c>
      <c r="G777" t="s">
        <v>23</v>
      </c>
      <c r="H777" t="s">
        <v>50</v>
      </c>
      <c r="I777" t="s">
        <v>46</v>
      </c>
      <c r="J777" t="b">
        <v>1</v>
      </c>
      <c r="K777" t="s">
        <v>47</v>
      </c>
      <c r="L777" t="s">
        <v>19</v>
      </c>
      <c r="M777" t="s">
        <v>43</v>
      </c>
      <c r="N777">
        <f>YEAR(Table1[[#This Row],[Date]])</f>
        <v>2023</v>
      </c>
      <c r="O777" t="str">
        <f>TEXT(Table1[[#This Row],[Date]],"mmm")</f>
        <v>Feb</v>
      </c>
      <c r="P777" t="str">
        <f>IF(Table1[[#This Row],[Total_Cost]]&lt;25,"low",IF(Table1[[#This Row],[Total_Cost]]&lt;60,"medium","high"))</f>
        <v>high</v>
      </c>
      <c r="Q777" t="str">
        <f>IF(Table1[[#This Row],[Discount_Applied]]=TRUE,"discount applied","no discount")</f>
        <v>discount applied</v>
      </c>
    </row>
    <row r="778" spans="1:17" x14ac:dyDescent="0.3">
      <c r="A778">
        <v>1000000776</v>
      </c>
      <c r="B778" s="1">
        <v>44302.604386574072</v>
      </c>
      <c r="C778" t="s">
        <v>1503</v>
      </c>
      <c r="D778" t="s">
        <v>1504</v>
      </c>
      <c r="E778">
        <v>5</v>
      </c>
      <c r="F778">
        <v>64.569999999999993</v>
      </c>
      <c r="G778" t="s">
        <v>41</v>
      </c>
      <c r="H778" t="s">
        <v>65</v>
      </c>
      <c r="I778" t="s">
        <v>33</v>
      </c>
      <c r="J778" t="b">
        <v>1</v>
      </c>
      <c r="K778" t="s">
        <v>80</v>
      </c>
      <c r="L778" t="s">
        <v>27</v>
      </c>
      <c r="M778" t="s">
        <v>43</v>
      </c>
      <c r="N778">
        <f>YEAR(Table1[[#This Row],[Date]])</f>
        <v>2021</v>
      </c>
      <c r="O778" t="str">
        <f>TEXT(Table1[[#This Row],[Date]],"mmm")</f>
        <v>Apr</v>
      </c>
      <c r="P778" t="str">
        <f>IF(Table1[[#This Row],[Total_Cost]]&lt;25,"low",IF(Table1[[#This Row],[Total_Cost]]&lt;60,"medium","high"))</f>
        <v>high</v>
      </c>
      <c r="Q778" t="str">
        <f>IF(Table1[[#This Row],[Discount_Applied]]=TRUE,"discount applied","no discount")</f>
        <v>discount applied</v>
      </c>
    </row>
    <row r="779" spans="1:17" x14ac:dyDescent="0.3">
      <c r="A779">
        <v>1000000777</v>
      </c>
      <c r="B779" s="1">
        <v>45189.049155092594</v>
      </c>
      <c r="C779" t="s">
        <v>1505</v>
      </c>
      <c r="D779" t="s">
        <v>1506</v>
      </c>
      <c r="E779">
        <v>1</v>
      </c>
      <c r="F779">
        <v>18.809999999999999</v>
      </c>
      <c r="G779" t="s">
        <v>15</v>
      </c>
      <c r="H779" t="s">
        <v>32</v>
      </c>
      <c r="I779" t="s">
        <v>25</v>
      </c>
      <c r="J779" t="b">
        <v>0</v>
      </c>
      <c r="K779" t="s">
        <v>51</v>
      </c>
      <c r="L779" t="s">
        <v>38</v>
      </c>
      <c r="M779" t="s">
        <v>20</v>
      </c>
      <c r="N779">
        <f>YEAR(Table1[[#This Row],[Date]])</f>
        <v>2023</v>
      </c>
      <c r="O779" t="str">
        <f>TEXT(Table1[[#This Row],[Date]],"mmm")</f>
        <v>Sep</v>
      </c>
      <c r="P779" t="str">
        <f>IF(Table1[[#This Row],[Total_Cost]]&lt;25,"low",IF(Table1[[#This Row],[Total_Cost]]&lt;60,"medium","high"))</f>
        <v>low</v>
      </c>
      <c r="Q779" t="str">
        <f>IF(Table1[[#This Row],[Discount_Applied]]=TRUE,"discount applied","no discount")</f>
        <v>no discount</v>
      </c>
    </row>
    <row r="780" spans="1:17" x14ac:dyDescent="0.3">
      <c r="A780">
        <v>1000000778</v>
      </c>
      <c r="B780" s="1">
        <v>44552.975023148145</v>
      </c>
      <c r="C780" t="s">
        <v>1507</v>
      </c>
      <c r="D780" t="s">
        <v>1508</v>
      </c>
      <c r="E780">
        <v>6</v>
      </c>
      <c r="F780">
        <v>64.349999999999994</v>
      </c>
      <c r="G780" t="s">
        <v>41</v>
      </c>
      <c r="H780" t="s">
        <v>77</v>
      </c>
      <c r="I780" t="s">
        <v>17</v>
      </c>
      <c r="J780" t="b">
        <v>1</v>
      </c>
      <c r="K780" t="s">
        <v>18</v>
      </c>
      <c r="L780" t="s">
        <v>19</v>
      </c>
      <c r="M780" t="s">
        <v>20</v>
      </c>
      <c r="N780">
        <f>YEAR(Table1[[#This Row],[Date]])</f>
        <v>2021</v>
      </c>
      <c r="O780" t="str">
        <f>TEXT(Table1[[#This Row],[Date]],"mmm")</f>
        <v>Dec</v>
      </c>
      <c r="P780" t="str">
        <f>IF(Table1[[#This Row],[Total_Cost]]&lt;25,"low",IF(Table1[[#This Row],[Total_Cost]]&lt;60,"medium","high"))</f>
        <v>high</v>
      </c>
      <c r="Q780" t="str">
        <f>IF(Table1[[#This Row],[Discount_Applied]]=TRUE,"discount applied","no discount")</f>
        <v>discount applied</v>
      </c>
    </row>
    <row r="781" spans="1:17" x14ac:dyDescent="0.3">
      <c r="A781">
        <v>1000000779</v>
      </c>
      <c r="B781" s="1">
        <v>44647.58761574074</v>
      </c>
      <c r="C781" t="s">
        <v>1509</v>
      </c>
      <c r="D781" t="s">
        <v>936</v>
      </c>
      <c r="E781">
        <v>9</v>
      </c>
      <c r="F781">
        <v>69.64</v>
      </c>
      <c r="G781" t="s">
        <v>41</v>
      </c>
      <c r="H781" t="s">
        <v>16</v>
      </c>
      <c r="I781" t="s">
        <v>25</v>
      </c>
      <c r="J781" t="b">
        <v>0</v>
      </c>
      <c r="K781" t="s">
        <v>62</v>
      </c>
      <c r="L781" t="s">
        <v>19</v>
      </c>
      <c r="M781" t="s">
        <v>28</v>
      </c>
      <c r="N781">
        <f>YEAR(Table1[[#This Row],[Date]])</f>
        <v>2022</v>
      </c>
      <c r="O781" t="str">
        <f>TEXT(Table1[[#This Row],[Date]],"mmm")</f>
        <v>Mar</v>
      </c>
      <c r="P781" t="str">
        <f>IF(Table1[[#This Row],[Total_Cost]]&lt;25,"low",IF(Table1[[#This Row],[Total_Cost]]&lt;60,"medium","high"))</f>
        <v>high</v>
      </c>
      <c r="Q781" t="str">
        <f>IF(Table1[[#This Row],[Discount_Applied]]=TRUE,"discount applied","no discount")</f>
        <v>no discount</v>
      </c>
    </row>
    <row r="782" spans="1:17" x14ac:dyDescent="0.3">
      <c r="A782">
        <v>1000000780</v>
      </c>
      <c r="B782" s="1">
        <v>44449.240624999999</v>
      </c>
      <c r="C782" t="s">
        <v>1510</v>
      </c>
      <c r="D782" t="s">
        <v>1511</v>
      </c>
      <c r="E782">
        <v>9</v>
      </c>
      <c r="F782">
        <v>87.15</v>
      </c>
      <c r="G782" t="s">
        <v>41</v>
      </c>
      <c r="H782" t="s">
        <v>129</v>
      </c>
      <c r="I782" t="s">
        <v>59</v>
      </c>
      <c r="J782" t="b">
        <v>1</v>
      </c>
      <c r="K782" t="s">
        <v>42</v>
      </c>
      <c r="L782" t="s">
        <v>19</v>
      </c>
      <c r="M782" t="s">
        <v>43</v>
      </c>
      <c r="N782">
        <f>YEAR(Table1[[#This Row],[Date]])</f>
        <v>2021</v>
      </c>
      <c r="O782" t="str">
        <f>TEXT(Table1[[#This Row],[Date]],"mmm")</f>
        <v>Sep</v>
      </c>
      <c r="P782" t="str">
        <f>IF(Table1[[#This Row],[Total_Cost]]&lt;25,"low",IF(Table1[[#This Row],[Total_Cost]]&lt;60,"medium","high"))</f>
        <v>high</v>
      </c>
      <c r="Q782" t="str">
        <f>IF(Table1[[#This Row],[Discount_Applied]]=TRUE,"discount applied","no discount")</f>
        <v>discount applied</v>
      </c>
    </row>
    <row r="783" spans="1:17" x14ac:dyDescent="0.3">
      <c r="A783">
        <v>1000000781</v>
      </c>
      <c r="B783" s="1">
        <v>44537.261747685188</v>
      </c>
      <c r="C783" t="s">
        <v>1512</v>
      </c>
      <c r="D783" t="s">
        <v>1513</v>
      </c>
      <c r="E783">
        <v>7</v>
      </c>
      <c r="F783">
        <v>61.99</v>
      </c>
      <c r="G783" t="s">
        <v>15</v>
      </c>
      <c r="H783" t="s">
        <v>36</v>
      </c>
      <c r="I783" t="s">
        <v>37</v>
      </c>
      <c r="J783" t="b">
        <v>1</v>
      </c>
      <c r="K783" t="s">
        <v>87</v>
      </c>
      <c r="L783" t="s">
        <v>38</v>
      </c>
      <c r="M783" t="s">
        <v>28</v>
      </c>
      <c r="N783">
        <f>YEAR(Table1[[#This Row],[Date]])</f>
        <v>2021</v>
      </c>
      <c r="O783" t="str">
        <f>TEXT(Table1[[#This Row],[Date]],"mmm")</f>
        <v>Dec</v>
      </c>
      <c r="P783" t="str">
        <f>IF(Table1[[#This Row],[Total_Cost]]&lt;25,"low",IF(Table1[[#This Row],[Total_Cost]]&lt;60,"medium","high"))</f>
        <v>high</v>
      </c>
      <c r="Q783" t="str">
        <f>IF(Table1[[#This Row],[Discount_Applied]]=TRUE,"discount applied","no discount")</f>
        <v>discount applied</v>
      </c>
    </row>
    <row r="784" spans="1:17" x14ac:dyDescent="0.3">
      <c r="A784">
        <v>1000000782</v>
      </c>
      <c r="B784" s="1">
        <v>44533.528078703705</v>
      </c>
      <c r="C784" t="s">
        <v>1514</v>
      </c>
      <c r="D784" t="s">
        <v>1515</v>
      </c>
      <c r="E784">
        <v>5</v>
      </c>
      <c r="F784">
        <v>96.88</v>
      </c>
      <c r="G784" t="s">
        <v>41</v>
      </c>
      <c r="H784" t="s">
        <v>70</v>
      </c>
      <c r="I784" t="s">
        <v>17</v>
      </c>
      <c r="J784" t="b">
        <v>0</v>
      </c>
      <c r="K784" t="s">
        <v>87</v>
      </c>
      <c r="L784" t="s">
        <v>38</v>
      </c>
      <c r="M784" t="s">
        <v>43</v>
      </c>
      <c r="N784">
        <f>YEAR(Table1[[#This Row],[Date]])</f>
        <v>2021</v>
      </c>
      <c r="O784" t="str">
        <f>TEXT(Table1[[#This Row],[Date]],"mmm")</f>
        <v>Dec</v>
      </c>
      <c r="P784" t="str">
        <f>IF(Table1[[#This Row],[Total_Cost]]&lt;25,"low",IF(Table1[[#This Row],[Total_Cost]]&lt;60,"medium","high"))</f>
        <v>high</v>
      </c>
      <c r="Q784" t="str">
        <f>IF(Table1[[#This Row],[Discount_Applied]]=TRUE,"discount applied","no discount")</f>
        <v>no discount</v>
      </c>
    </row>
    <row r="785" spans="1:17" x14ac:dyDescent="0.3">
      <c r="A785">
        <v>1000000783</v>
      </c>
      <c r="B785" s="1">
        <v>43892.257719907408</v>
      </c>
      <c r="C785" t="s">
        <v>1516</v>
      </c>
      <c r="D785" t="s">
        <v>1517</v>
      </c>
      <c r="E785">
        <v>1</v>
      </c>
      <c r="F785">
        <v>74.849999999999994</v>
      </c>
      <c r="G785" t="s">
        <v>41</v>
      </c>
      <c r="H785" t="s">
        <v>36</v>
      </c>
      <c r="I785" t="s">
        <v>46</v>
      </c>
      <c r="J785" t="b">
        <v>0</v>
      </c>
      <c r="K785" t="s">
        <v>87</v>
      </c>
      <c r="L785" t="s">
        <v>19</v>
      </c>
      <c r="M785" t="s">
        <v>43</v>
      </c>
      <c r="N785">
        <f>YEAR(Table1[[#This Row],[Date]])</f>
        <v>2020</v>
      </c>
      <c r="O785" t="str">
        <f>TEXT(Table1[[#This Row],[Date]],"mmm")</f>
        <v>Mar</v>
      </c>
      <c r="P785" t="str">
        <f>IF(Table1[[#This Row],[Total_Cost]]&lt;25,"low",IF(Table1[[#This Row],[Total_Cost]]&lt;60,"medium","high"))</f>
        <v>high</v>
      </c>
      <c r="Q785" t="str">
        <f>IF(Table1[[#This Row],[Discount_Applied]]=TRUE,"discount applied","no discount")</f>
        <v>no discount</v>
      </c>
    </row>
    <row r="786" spans="1:17" x14ac:dyDescent="0.3">
      <c r="A786">
        <v>1000000784</v>
      </c>
      <c r="B786" s="1">
        <v>44964.650312500002</v>
      </c>
      <c r="C786" t="s">
        <v>1518</v>
      </c>
      <c r="D786" t="s">
        <v>1519</v>
      </c>
      <c r="E786">
        <v>7</v>
      </c>
      <c r="F786">
        <v>18.920000000000002</v>
      </c>
      <c r="G786" t="s">
        <v>31</v>
      </c>
      <c r="H786" t="s">
        <v>129</v>
      </c>
      <c r="I786" t="s">
        <v>37</v>
      </c>
      <c r="J786" t="b">
        <v>0</v>
      </c>
      <c r="K786" t="s">
        <v>47</v>
      </c>
      <c r="L786" t="s">
        <v>52</v>
      </c>
      <c r="M786" t="s">
        <v>20</v>
      </c>
      <c r="N786">
        <f>YEAR(Table1[[#This Row],[Date]])</f>
        <v>2023</v>
      </c>
      <c r="O786" t="str">
        <f>TEXT(Table1[[#This Row],[Date]],"mmm")</f>
        <v>Feb</v>
      </c>
      <c r="P786" t="str">
        <f>IF(Table1[[#This Row],[Total_Cost]]&lt;25,"low",IF(Table1[[#This Row],[Total_Cost]]&lt;60,"medium","high"))</f>
        <v>low</v>
      </c>
      <c r="Q786" t="str">
        <f>IF(Table1[[#This Row],[Discount_Applied]]=TRUE,"discount applied","no discount")</f>
        <v>no discount</v>
      </c>
    </row>
    <row r="787" spans="1:17" x14ac:dyDescent="0.3">
      <c r="A787">
        <v>1000000785</v>
      </c>
      <c r="B787" s="1">
        <v>44362.85324074074</v>
      </c>
      <c r="C787" t="s">
        <v>1520</v>
      </c>
      <c r="D787" t="s">
        <v>1363</v>
      </c>
      <c r="E787">
        <v>4</v>
      </c>
      <c r="F787">
        <v>40.61</v>
      </c>
      <c r="G787" t="s">
        <v>31</v>
      </c>
      <c r="H787" t="s">
        <v>50</v>
      </c>
      <c r="I787" t="s">
        <v>46</v>
      </c>
      <c r="J787" t="b">
        <v>1</v>
      </c>
      <c r="K787" t="s">
        <v>80</v>
      </c>
      <c r="L787" t="s">
        <v>27</v>
      </c>
      <c r="M787" t="s">
        <v>43</v>
      </c>
      <c r="N787">
        <f>YEAR(Table1[[#This Row],[Date]])</f>
        <v>2021</v>
      </c>
      <c r="O787" t="str">
        <f>TEXT(Table1[[#This Row],[Date]],"mmm")</f>
        <v>Jun</v>
      </c>
      <c r="P787" t="str">
        <f>IF(Table1[[#This Row],[Total_Cost]]&lt;25,"low",IF(Table1[[#This Row],[Total_Cost]]&lt;60,"medium","high"))</f>
        <v>medium</v>
      </c>
      <c r="Q787" t="str">
        <f>IF(Table1[[#This Row],[Discount_Applied]]=TRUE,"discount applied","no discount")</f>
        <v>discount applied</v>
      </c>
    </row>
    <row r="788" spans="1:17" x14ac:dyDescent="0.3">
      <c r="A788">
        <v>1000000786</v>
      </c>
      <c r="B788" s="1">
        <v>45009.627916666665</v>
      </c>
      <c r="C788" t="s">
        <v>1521</v>
      </c>
      <c r="D788" t="s">
        <v>1522</v>
      </c>
      <c r="E788">
        <v>5</v>
      </c>
      <c r="F788">
        <v>21.72</v>
      </c>
      <c r="G788" t="s">
        <v>23</v>
      </c>
      <c r="H788" t="s">
        <v>36</v>
      </c>
      <c r="I788" t="s">
        <v>46</v>
      </c>
      <c r="J788" t="b">
        <v>1</v>
      </c>
      <c r="K788" t="s">
        <v>26</v>
      </c>
      <c r="L788" t="s">
        <v>38</v>
      </c>
      <c r="M788" t="s">
        <v>20</v>
      </c>
      <c r="N788">
        <f>YEAR(Table1[[#This Row],[Date]])</f>
        <v>2023</v>
      </c>
      <c r="O788" t="str">
        <f>TEXT(Table1[[#This Row],[Date]],"mmm")</f>
        <v>Mar</v>
      </c>
      <c r="P788" t="str">
        <f>IF(Table1[[#This Row],[Total_Cost]]&lt;25,"low",IF(Table1[[#This Row],[Total_Cost]]&lt;60,"medium","high"))</f>
        <v>low</v>
      </c>
      <c r="Q788" t="str">
        <f>IF(Table1[[#This Row],[Discount_Applied]]=TRUE,"discount applied","no discount")</f>
        <v>discount applied</v>
      </c>
    </row>
    <row r="789" spans="1:17" x14ac:dyDescent="0.3">
      <c r="A789">
        <v>1000000787</v>
      </c>
      <c r="B789" s="1">
        <v>44959.238634259258</v>
      </c>
      <c r="C789" t="s">
        <v>1523</v>
      </c>
      <c r="D789" t="s">
        <v>1524</v>
      </c>
      <c r="E789">
        <v>3</v>
      </c>
      <c r="F789">
        <v>90.39</v>
      </c>
      <c r="G789" t="s">
        <v>23</v>
      </c>
      <c r="H789" t="s">
        <v>50</v>
      </c>
      <c r="I789" t="s">
        <v>59</v>
      </c>
      <c r="J789" t="b">
        <v>1</v>
      </c>
      <c r="K789" t="s">
        <v>18</v>
      </c>
      <c r="L789" t="s">
        <v>27</v>
      </c>
      <c r="M789" t="s">
        <v>43</v>
      </c>
      <c r="N789">
        <f>YEAR(Table1[[#This Row],[Date]])</f>
        <v>2023</v>
      </c>
      <c r="O789" t="str">
        <f>TEXT(Table1[[#This Row],[Date]],"mmm")</f>
        <v>Feb</v>
      </c>
      <c r="P789" t="str">
        <f>IF(Table1[[#This Row],[Total_Cost]]&lt;25,"low",IF(Table1[[#This Row],[Total_Cost]]&lt;60,"medium","high"))</f>
        <v>high</v>
      </c>
      <c r="Q789" t="str">
        <f>IF(Table1[[#This Row],[Discount_Applied]]=TRUE,"discount applied","no discount")</f>
        <v>discount applied</v>
      </c>
    </row>
    <row r="790" spans="1:17" x14ac:dyDescent="0.3">
      <c r="A790">
        <v>1000000788</v>
      </c>
      <c r="B790" s="1">
        <v>44331.355740740742</v>
      </c>
      <c r="C790" t="s">
        <v>1525</v>
      </c>
      <c r="D790" t="s">
        <v>1526</v>
      </c>
      <c r="E790">
        <v>9</v>
      </c>
      <c r="F790">
        <v>60.52</v>
      </c>
      <c r="G790" t="s">
        <v>23</v>
      </c>
      <c r="H790" t="s">
        <v>70</v>
      </c>
      <c r="I790" t="s">
        <v>17</v>
      </c>
      <c r="J790" t="b">
        <v>1</v>
      </c>
      <c r="K790" t="s">
        <v>18</v>
      </c>
      <c r="L790" t="s">
        <v>27</v>
      </c>
      <c r="M790" t="s">
        <v>28</v>
      </c>
      <c r="N790">
        <f>YEAR(Table1[[#This Row],[Date]])</f>
        <v>2021</v>
      </c>
      <c r="O790" t="str">
        <f>TEXT(Table1[[#This Row],[Date]],"mmm")</f>
        <v>May</v>
      </c>
      <c r="P790" t="str">
        <f>IF(Table1[[#This Row],[Total_Cost]]&lt;25,"low",IF(Table1[[#This Row],[Total_Cost]]&lt;60,"medium","high"))</f>
        <v>high</v>
      </c>
      <c r="Q790" t="str">
        <f>IF(Table1[[#This Row],[Discount_Applied]]=TRUE,"discount applied","no discount")</f>
        <v>discount applied</v>
      </c>
    </row>
    <row r="791" spans="1:17" x14ac:dyDescent="0.3">
      <c r="A791">
        <v>1000000789</v>
      </c>
      <c r="B791" s="1">
        <v>44481.690474537034</v>
      </c>
      <c r="C791" t="s">
        <v>1527</v>
      </c>
      <c r="D791" t="s">
        <v>1528</v>
      </c>
      <c r="E791">
        <v>1</v>
      </c>
      <c r="F791">
        <v>34.93</v>
      </c>
      <c r="G791" t="s">
        <v>23</v>
      </c>
      <c r="H791" t="s">
        <v>50</v>
      </c>
      <c r="I791" t="s">
        <v>17</v>
      </c>
      <c r="J791" t="b">
        <v>0</v>
      </c>
      <c r="K791" t="s">
        <v>26</v>
      </c>
      <c r="L791" t="s">
        <v>27</v>
      </c>
      <c r="M791" t="s">
        <v>20</v>
      </c>
      <c r="N791">
        <f>YEAR(Table1[[#This Row],[Date]])</f>
        <v>2021</v>
      </c>
      <c r="O791" t="str">
        <f>TEXT(Table1[[#This Row],[Date]],"mmm")</f>
        <v>Oct</v>
      </c>
      <c r="P791" t="str">
        <f>IF(Table1[[#This Row],[Total_Cost]]&lt;25,"low",IF(Table1[[#This Row],[Total_Cost]]&lt;60,"medium","high"))</f>
        <v>medium</v>
      </c>
      <c r="Q791" t="str">
        <f>IF(Table1[[#This Row],[Discount_Applied]]=TRUE,"discount applied","no discount")</f>
        <v>no discount</v>
      </c>
    </row>
    <row r="792" spans="1:17" x14ac:dyDescent="0.3">
      <c r="A792">
        <v>1000000790</v>
      </c>
      <c r="B792" s="1">
        <v>44100.773530092592</v>
      </c>
      <c r="C792" t="s">
        <v>1529</v>
      </c>
      <c r="D792" t="s">
        <v>1530</v>
      </c>
      <c r="E792">
        <v>5</v>
      </c>
      <c r="F792">
        <v>66.45</v>
      </c>
      <c r="G792" t="s">
        <v>31</v>
      </c>
      <c r="H792" t="s">
        <v>129</v>
      </c>
      <c r="I792" t="s">
        <v>37</v>
      </c>
      <c r="J792" t="b">
        <v>1</v>
      </c>
      <c r="K792" t="s">
        <v>18</v>
      </c>
      <c r="L792" t="s">
        <v>52</v>
      </c>
      <c r="M792" t="s">
        <v>28</v>
      </c>
      <c r="N792">
        <f>YEAR(Table1[[#This Row],[Date]])</f>
        <v>2020</v>
      </c>
      <c r="O792" t="str">
        <f>TEXT(Table1[[#This Row],[Date]],"mmm")</f>
        <v>Sep</v>
      </c>
      <c r="P792" t="str">
        <f>IF(Table1[[#This Row],[Total_Cost]]&lt;25,"low",IF(Table1[[#This Row],[Total_Cost]]&lt;60,"medium","high"))</f>
        <v>high</v>
      </c>
      <c r="Q792" t="str">
        <f>IF(Table1[[#This Row],[Discount_Applied]]=TRUE,"discount applied","no discount")</f>
        <v>discount applied</v>
      </c>
    </row>
    <row r="793" spans="1:17" x14ac:dyDescent="0.3">
      <c r="A793">
        <v>1000000791</v>
      </c>
      <c r="B793" s="1">
        <v>44611.326307870368</v>
      </c>
      <c r="C793" t="s">
        <v>1531</v>
      </c>
      <c r="D793" t="s">
        <v>1532</v>
      </c>
      <c r="E793">
        <v>8</v>
      </c>
      <c r="F793">
        <v>32.03</v>
      </c>
      <c r="G793" t="s">
        <v>41</v>
      </c>
      <c r="H793" t="s">
        <v>36</v>
      </c>
      <c r="I793" t="s">
        <v>59</v>
      </c>
      <c r="J793" t="b">
        <v>1</v>
      </c>
      <c r="K793" t="s">
        <v>62</v>
      </c>
      <c r="L793" t="s">
        <v>27</v>
      </c>
      <c r="M793" t="s">
        <v>28</v>
      </c>
      <c r="N793">
        <f>YEAR(Table1[[#This Row],[Date]])</f>
        <v>2022</v>
      </c>
      <c r="O793" t="str">
        <f>TEXT(Table1[[#This Row],[Date]],"mmm")</f>
        <v>Feb</v>
      </c>
      <c r="P793" t="str">
        <f>IF(Table1[[#This Row],[Total_Cost]]&lt;25,"low",IF(Table1[[#This Row],[Total_Cost]]&lt;60,"medium","high"))</f>
        <v>medium</v>
      </c>
      <c r="Q793" t="str">
        <f>IF(Table1[[#This Row],[Discount_Applied]]=TRUE,"discount applied","no discount")</f>
        <v>discount applied</v>
      </c>
    </row>
    <row r="794" spans="1:17" x14ac:dyDescent="0.3">
      <c r="A794">
        <v>1000000792</v>
      </c>
      <c r="B794" s="1">
        <v>44064.95208333333</v>
      </c>
      <c r="C794" t="s">
        <v>1533</v>
      </c>
      <c r="D794" t="s">
        <v>1534</v>
      </c>
      <c r="E794">
        <v>8</v>
      </c>
      <c r="F794">
        <v>49.43</v>
      </c>
      <c r="G794" t="s">
        <v>31</v>
      </c>
      <c r="H794" t="s">
        <v>50</v>
      </c>
      <c r="I794" t="s">
        <v>17</v>
      </c>
      <c r="J794" t="b">
        <v>1</v>
      </c>
      <c r="K794" t="s">
        <v>47</v>
      </c>
      <c r="L794" t="s">
        <v>52</v>
      </c>
      <c r="M794" t="s">
        <v>20</v>
      </c>
      <c r="N794">
        <f>YEAR(Table1[[#This Row],[Date]])</f>
        <v>2020</v>
      </c>
      <c r="O794" t="str">
        <f>TEXT(Table1[[#This Row],[Date]],"mmm")</f>
        <v>Aug</v>
      </c>
      <c r="P794" t="str">
        <f>IF(Table1[[#This Row],[Total_Cost]]&lt;25,"low",IF(Table1[[#This Row],[Total_Cost]]&lt;60,"medium","high"))</f>
        <v>medium</v>
      </c>
      <c r="Q794" t="str">
        <f>IF(Table1[[#This Row],[Discount_Applied]]=TRUE,"discount applied","no discount")</f>
        <v>discount applied</v>
      </c>
    </row>
    <row r="795" spans="1:17" x14ac:dyDescent="0.3">
      <c r="A795">
        <v>1000000793</v>
      </c>
      <c r="B795" s="1">
        <v>44508.312199074076</v>
      </c>
      <c r="C795" t="s">
        <v>1535</v>
      </c>
      <c r="D795" t="s">
        <v>1536</v>
      </c>
      <c r="E795">
        <v>8</v>
      </c>
      <c r="F795">
        <v>73.02</v>
      </c>
      <c r="G795" t="s">
        <v>15</v>
      </c>
      <c r="H795" t="s">
        <v>77</v>
      </c>
      <c r="I795" t="s">
        <v>25</v>
      </c>
      <c r="J795" t="b">
        <v>1</v>
      </c>
      <c r="K795" t="s">
        <v>18</v>
      </c>
      <c r="L795" t="s">
        <v>27</v>
      </c>
      <c r="M795" t="s">
        <v>20</v>
      </c>
      <c r="N795">
        <f>YEAR(Table1[[#This Row],[Date]])</f>
        <v>2021</v>
      </c>
      <c r="O795" t="str">
        <f>TEXT(Table1[[#This Row],[Date]],"mmm")</f>
        <v>Nov</v>
      </c>
      <c r="P795" t="str">
        <f>IF(Table1[[#This Row],[Total_Cost]]&lt;25,"low",IF(Table1[[#This Row],[Total_Cost]]&lt;60,"medium","high"))</f>
        <v>high</v>
      </c>
      <c r="Q795" t="str">
        <f>IF(Table1[[#This Row],[Discount_Applied]]=TRUE,"discount applied","no discount")</f>
        <v>discount applied</v>
      </c>
    </row>
    <row r="796" spans="1:17" x14ac:dyDescent="0.3">
      <c r="A796">
        <v>1000000794</v>
      </c>
      <c r="B796" s="1">
        <v>45362.558645833335</v>
      </c>
      <c r="C796" t="s">
        <v>1537</v>
      </c>
      <c r="D796" t="s">
        <v>1538</v>
      </c>
      <c r="E796">
        <v>7</v>
      </c>
      <c r="F796">
        <v>52.15</v>
      </c>
      <c r="G796" t="s">
        <v>41</v>
      </c>
      <c r="H796" t="s">
        <v>50</v>
      </c>
      <c r="I796" t="s">
        <v>33</v>
      </c>
      <c r="J796" t="b">
        <v>1</v>
      </c>
      <c r="K796" t="s">
        <v>51</v>
      </c>
      <c r="L796" t="s">
        <v>19</v>
      </c>
      <c r="M796" t="s">
        <v>20</v>
      </c>
      <c r="N796">
        <f>YEAR(Table1[[#This Row],[Date]])</f>
        <v>2024</v>
      </c>
      <c r="O796" t="str">
        <f>TEXT(Table1[[#This Row],[Date]],"mmm")</f>
        <v>Mar</v>
      </c>
      <c r="P796" t="str">
        <f>IF(Table1[[#This Row],[Total_Cost]]&lt;25,"low",IF(Table1[[#This Row],[Total_Cost]]&lt;60,"medium","high"))</f>
        <v>medium</v>
      </c>
      <c r="Q796" t="str">
        <f>IF(Table1[[#This Row],[Discount_Applied]]=TRUE,"discount applied","no discount")</f>
        <v>discount applied</v>
      </c>
    </row>
    <row r="797" spans="1:17" x14ac:dyDescent="0.3">
      <c r="A797">
        <v>1000000795</v>
      </c>
      <c r="B797" s="1">
        <v>44837.746192129627</v>
      </c>
      <c r="C797" t="s">
        <v>1539</v>
      </c>
      <c r="D797" t="s">
        <v>1540</v>
      </c>
      <c r="E797">
        <v>8</v>
      </c>
      <c r="F797">
        <v>89.26</v>
      </c>
      <c r="G797" t="s">
        <v>31</v>
      </c>
      <c r="H797" t="s">
        <v>16</v>
      </c>
      <c r="I797" t="s">
        <v>25</v>
      </c>
      <c r="J797" t="b">
        <v>0</v>
      </c>
      <c r="K797" t="s">
        <v>47</v>
      </c>
      <c r="L797" t="s">
        <v>27</v>
      </c>
      <c r="M797" t="s">
        <v>28</v>
      </c>
      <c r="N797">
        <f>YEAR(Table1[[#This Row],[Date]])</f>
        <v>2022</v>
      </c>
      <c r="O797" t="str">
        <f>TEXT(Table1[[#This Row],[Date]],"mmm")</f>
        <v>Oct</v>
      </c>
      <c r="P797" t="str">
        <f>IF(Table1[[#This Row],[Total_Cost]]&lt;25,"low",IF(Table1[[#This Row],[Total_Cost]]&lt;60,"medium","high"))</f>
        <v>high</v>
      </c>
      <c r="Q797" t="str">
        <f>IF(Table1[[#This Row],[Discount_Applied]]=TRUE,"discount applied","no discount")</f>
        <v>no discount</v>
      </c>
    </row>
    <row r="798" spans="1:17" x14ac:dyDescent="0.3">
      <c r="A798">
        <v>1000000796</v>
      </c>
      <c r="B798" s="1">
        <v>44079.362303240741</v>
      </c>
      <c r="C798" t="s">
        <v>1541</v>
      </c>
      <c r="D798" t="s">
        <v>1542</v>
      </c>
      <c r="E798">
        <v>4</v>
      </c>
      <c r="F798">
        <v>63.23</v>
      </c>
      <c r="G798" t="s">
        <v>31</v>
      </c>
      <c r="H798" t="s">
        <v>16</v>
      </c>
      <c r="I798" t="s">
        <v>17</v>
      </c>
      <c r="J798" t="b">
        <v>0</v>
      </c>
      <c r="K798" t="s">
        <v>87</v>
      </c>
      <c r="L798" t="s">
        <v>52</v>
      </c>
      <c r="M798" t="s">
        <v>43</v>
      </c>
      <c r="N798">
        <f>YEAR(Table1[[#This Row],[Date]])</f>
        <v>2020</v>
      </c>
      <c r="O798" t="str">
        <f>TEXT(Table1[[#This Row],[Date]],"mmm")</f>
        <v>Sep</v>
      </c>
      <c r="P798" t="str">
        <f>IF(Table1[[#This Row],[Total_Cost]]&lt;25,"low",IF(Table1[[#This Row],[Total_Cost]]&lt;60,"medium","high"))</f>
        <v>high</v>
      </c>
      <c r="Q798" t="str">
        <f>IF(Table1[[#This Row],[Discount_Applied]]=TRUE,"discount applied","no discount")</f>
        <v>no discount</v>
      </c>
    </row>
    <row r="799" spans="1:17" x14ac:dyDescent="0.3">
      <c r="A799">
        <v>1000000797</v>
      </c>
      <c r="B799" s="1">
        <v>44476.64702546296</v>
      </c>
      <c r="C799" t="s">
        <v>1543</v>
      </c>
      <c r="D799" t="s">
        <v>1544</v>
      </c>
      <c r="E799">
        <v>6</v>
      </c>
      <c r="F799">
        <v>12.68</v>
      </c>
      <c r="G799" t="s">
        <v>41</v>
      </c>
      <c r="H799" t="s">
        <v>24</v>
      </c>
      <c r="I799" t="s">
        <v>37</v>
      </c>
      <c r="J799" t="b">
        <v>0</v>
      </c>
      <c r="K799" t="s">
        <v>18</v>
      </c>
      <c r="L799" t="s">
        <v>38</v>
      </c>
      <c r="M799" t="s">
        <v>20</v>
      </c>
      <c r="N799">
        <f>YEAR(Table1[[#This Row],[Date]])</f>
        <v>2021</v>
      </c>
      <c r="O799" t="str">
        <f>TEXT(Table1[[#This Row],[Date]],"mmm")</f>
        <v>Oct</v>
      </c>
      <c r="P799" t="str">
        <f>IF(Table1[[#This Row],[Total_Cost]]&lt;25,"low",IF(Table1[[#This Row],[Total_Cost]]&lt;60,"medium","high"))</f>
        <v>low</v>
      </c>
      <c r="Q799" t="str">
        <f>IF(Table1[[#This Row],[Discount_Applied]]=TRUE,"discount applied","no discount")</f>
        <v>no discount</v>
      </c>
    </row>
    <row r="800" spans="1:17" x14ac:dyDescent="0.3">
      <c r="A800">
        <v>1000000798</v>
      </c>
      <c r="B800" s="1">
        <v>43938.895138888889</v>
      </c>
      <c r="C800" t="s">
        <v>1545</v>
      </c>
      <c r="D800" t="s">
        <v>1546</v>
      </c>
      <c r="E800">
        <v>4</v>
      </c>
      <c r="F800">
        <v>53.3</v>
      </c>
      <c r="G800" t="s">
        <v>23</v>
      </c>
      <c r="H800" t="s">
        <v>24</v>
      </c>
      <c r="I800" t="s">
        <v>25</v>
      </c>
      <c r="J800" t="b">
        <v>1</v>
      </c>
      <c r="K800" t="s">
        <v>51</v>
      </c>
      <c r="L800" t="s">
        <v>38</v>
      </c>
      <c r="M800" t="s">
        <v>20</v>
      </c>
      <c r="N800">
        <f>YEAR(Table1[[#This Row],[Date]])</f>
        <v>2020</v>
      </c>
      <c r="O800" t="str">
        <f>TEXT(Table1[[#This Row],[Date]],"mmm")</f>
        <v>Apr</v>
      </c>
      <c r="P800" t="str">
        <f>IF(Table1[[#This Row],[Total_Cost]]&lt;25,"low",IF(Table1[[#This Row],[Total_Cost]]&lt;60,"medium","high"))</f>
        <v>medium</v>
      </c>
      <c r="Q800" t="str">
        <f>IF(Table1[[#This Row],[Discount_Applied]]=TRUE,"discount applied","no discount")</f>
        <v>discount applied</v>
      </c>
    </row>
    <row r="801" spans="1:17" x14ac:dyDescent="0.3">
      <c r="A801">
        <v>1000000799</v>
      </c>
      <c r="B801" s="1">
        <v>44916.463877314818</v>
      </c>
      <c r="C801" t="s">
        <v>1547</v>
      </c>
      <c r="D801" t="s">
        <v>1548</v>
      </c>
      <c r="E801">
        <v>6</v>
      </c>
      <c r="F801">
        <v>15.53</v>
      </c>
      <c r="G801" t="s">
        <v>15</v>
      </c>
      <c r="H801" t="s">
        <v>16</v>
      </c>
      <c r="I801" t="s">
        <v>59</v>
      </c>
      <c r="J801" t="b">
        <v>1</v>
      </c>
      <c r="K801" t="s">
        <v>47</v>
      </c>
      <c r="L801" t="s">
        <v>27</v>
      </c>
      <c r="M801" t="s">
        <v>43</v>
      </c>
      <c r="N801">
        <f>YEAR(Table1[[#This Row],[Date]])</f>
        <v>2022</v>
      </c>
      <c r="O801" t="str">
        <f>TEXT(Table1[[#This Row],[Date]],"mmm")</f>
        <v>Dec</v>
      </c>
      <c r="P801" t="str">
        <f>IF(Table1[[#This Row],[Total_Cost]]&lt;25,"low",IF(Table1[[#This Row],[Total_Cost]]&lt;60,"medium","high"))</f>
        <v>low</v>
      </c>
      <c r="Q801" t="str">
        <f>IF(Table1[[#This Row],[Discount_Applied]]=TRUE,"discount applied","no discount")</f>
        <v>discount applied</v>
      </c>
    </row>
    <row r="802" spans="1:17" x14ac:dyDescent="0.3">
      <c r="A802">
        <v>1000000800</v>
      </c>
      <c r="B802" s="1">
        <v>44293.423495370371</v>
      </c>
      <c r="C802" t="s">
        <v>1549</v>
      </c>
      <c r="D802" t="s">
        <v>1550</v>
      </c>
      <c r="E802">
        <v>9</v>
      </c>
      <c r="F802">
        <v>21.97</v>
      </c>
      <c r="G802" t="s">
        <v>31</v>
      </c>
      <c r="H802" t="s">
        <v>50</v>
      </c>
      <c r="I802" t="s">
        <v>46</v>
      </c>
      <c r="J802" t="b">
        <v>0</v>
      </c>
      <c r="K802" t="s">
        <v>51</v>
      </c>
      <c r="L802" t="s">
        <v>38</v>
      </c>
      <c r="M802" t="s">
        <v>28</v>
      </c>
      <c r="N802">
        <f>YEAR(Table1[[#This Row],[Date]])</f>
        <v>2021</v>
      </c>
      <c r="O802" t="str">
        <f>TEXT(Table1[[#This Row],[Date]],"mmm")</f>
        <v>Apr</v>
      </c>
      <c r="P802" t="str">
        <f>IF(Table1[[#This Row],[Total_Cost]]&lt;25,"low",IF(Table1[[#This Row],[Total_Cost]]&lt;60,"medium","high"))</f>
        <v>low</v>
      </c>
      <c r="Q802" t="str">
        <f>IF(Table1[[#This Row],[Discount_Applied]]=TRUE,"discount applied","no discount")</f>
        <v>no discount</v>
      </c>
    </row>
    <row r="803" spans="1:17" x14ac:dyDescent="0.3">
      <c r="A803">
        <v>1000000801</v>
      </c>
      <c r="B803" s="1">
        <v>43983.463599537034</v>
      </c>
      <c r="C803" t="s">
        <v>1551</v>
      </c>
      <c r="D803" t="s">
        <v>1552</v>
      </c>
      <c r="E803">
        <v>5</v>
      </c>
      <c r="F803">
        <v>98.11</v>
      </c>
      <c r="G803" t="s">
        <v>31</v>
      </c>
      <c r="H803" t="s">
        <v>32</v>
      </c>
      <c r="I803" t="s">
        <v>33</v>
      </c>
      <c r="J803" t="b">
        <v>0</v>
      </c>
      <c r="K803" t="s">
        <v>62</v>
      </c>
      <c r="L803" t="s">
        <v>27</v>
      </c>
      <c r="M803" t="s">
        <v>28</v>
      </c>
      <c r="N803">
        <f>YEAR(Table1[[#This Row],[Date]])</f>
        <v>2020</v>
      </c>
      <c r="O803" t="str">
        <f>TEXT(Table1[[#This Row],[Date]],"mmm")</f>
        <v>Jun</v>
      </c>
      <c r="P803" t="str">
        <f>IF(Table1[[#This Row],[Total_Cost]]&lt;25,"low",IF(Table1[[#This Row],[Total_Cost]]&lt;60,"medium","high"))</f>
        <v>high</v>
      </c>
      <c r="Q803" t="str">
        <f>IF(Table1[[#This Row],[Discount_Applied]]=TRUE,"discount applied","no discount")</f>
        <v>no discount</v>
      </c>
    </row>
    <row r="804" spans="1:17" x14ac:dyDescent="0.3">
      <c r="A804">
        <v>1000000802</v>
      </c>
      <c r="B804" s="1">
        <v>44614.350752314815</v>
      </c>
      <c r="C804" t="s">
        <v>1553</v>
      </c>
      <c r="D804" t="s">
        <v>1554</v>
      </c>
      <c r="E804">
        <v>6</v>
      </c>
      <c r="F804">
        <v>10.58</v>
      </c>
      <c r="G804" t="s">
        <v>41</v>
      </c>
      <c r="H804" t="s">
        <v>24</v>
      </c>
      <c r="I804" t="s">
        <v>46</v>
      </c>
      <c r="J804" t="b">
        <v>1</v>
      </c>
      <c r="K804" t="s">
        <v>80</v>
      </c>
      <c r="L804" t="s">
        <v>19</v>
      </c>
      <c r="M804" t="s">
        <v>43</v>
      </c>
      <c r="N804">
        <f>YEAR(Table1[[#This Row],[Date]])</f>
        <v>2022</v>
      </c>
      <c r="O804" t="str">
        <f>TEXT(Table1[[#This Row],[Date]],"mmm")</f>
        <v>Feb</v>
      </c>
      <c r="P804" t="str">
        <f>IF(Table1[[#This Row],[Total_Cost]]&lt;25,"low",IF(Table1[[#This Row],[Total_Cost]]&lt;60,"medium","high"))</f>
        <v>low</v>
      </c>
      <c r="Q804" t="str">
        <f>IF(Table1[[#This Row],[Discount_Applied]]=TRUE,"discount applied","no discount")</f>
        <v>discount applied</v>
      </c>
    </row>
    <row r="805" spans="1:17" x14ac:dyDescent="0.3">
      <c r="A805">
        <v>1000000803</v>
      </c>
      <c r="B805" s="1">
        <v>45023.474664351852</v>
      </c>
      <c r="C805" t="s">
        <v>1555</v>
      </c>
      <c r="D805" t="s">
        <v>246</v>
      </c>
      <c r="E805">
        <v>6</v>
      </c>
      <c r="F805">
        <v>45.59</v>
      </c>
      <c r="G805" t="s">
        <v>15</v>
      </c>
      <c r="H805" t="s">
        <v>96</v>
      </c>
      <c r="I805" t="s">
        <v>25</v>
      </c>
      <c r="J805" t="b">
        <v>0</v>
      </c>
      <c r="K805" t="s">
        <v>26</v>
      </c>
      <c r="L805" t="s">
        <v>19</v>
      </c>
      <c r="M805" t="s">
        <v>20</v>
      </c>
      <c r="N805">
        <f>YEAR(Table1[[#This Row],[Date]])</f>
        <v>2023</v>
      </c>
      <c r="O805" t="str">
        <f>TEXT(Table1[[#This Row],[Date]],"mmm")</f>
        <v>Apr</v>
      </c>
      <c r="P805" t="str">
        <f>IF(Table1[[#This Row],[Total_Cost]]&lt;25,"low",IF(Table1[[#This Row],[Total_Cost]]&lt;60,"medium","high"))</f>
        <v>medium</v>
      </c>
      <c r="Q805" t="str">
        <f>IF(Table1[[#This Row],[Discount_Applied]]=TRUE,"discount applied","no discount")</f>
        <v>no discount</v>
      </c>
    </row>
    <row r="806" spans="1:17" x14ac:dyDescent="0.3">
      <c r="A806">
        <v>1000000804</v>
      </c>
      <c r="B806" s="1">
        <v>45007.364583333336</v>
      </c>
      <c r="C806" t="s">
        <v>1556</v>
      </c>
      <c r="D806" t="s">
        <v>1557</v>
      </c>
      <c r="E806">
        <v>10</v>
      </c>
      <c r="F806">
        <v>23.19</v>
      </c>
      <c r="G806" t="s">
        <v>41</v>
      </c>
      <c r="H806" t="s">
        <v>70</v>
      </c>
      <c r="I806" t="s">
        <v>25</v>
      </c>
      <c r="J806" t="b">
        <v>0</v>
      </c>
      <c r="K806" t="s">
        <v>80</v>
      </c>
      <c r="L806" t="s">
        <v>27</v>
      </c>
      <c r="M806" t="s">
        <v>28</v>
      </c>
      <c r="N806">
        <f>YEAR(Table1[[#This Row],[Date]])</f>
        <v>2023</v>
      </c>
      <c r="O806" t="str">
        <f>TEXT(Table1[[#This Row],[Date]],"mmm")</f>
        <v>Mar</v>
      </c>
      <c r="P806" t="str">
        <f>IF(Table1[[#This Row],[Total_Cost]]&lt;25,"low",IF(Table1[[#This Row],[Total_Cost]]&lt;60,"medium","high"))</f>
        <v>low</v>
      </c>
      <c r="Q806" t="str">
        <f>IF(Table1[[#This Row],[Discount_Applied]]=TRUE,"discount applied","no discount")</f>
        <v>no discount</v>
      </c>
    </row>
    <row r="807" spans="1:17" x14ac:dyDescent="0.3">
      <c r="A807">
        <v>1000000805</v>
      </c>
      <c r="B807" s="1">
        <v>44313.838287037041</v>
      </c>
      <c r="C807" t="s">
        <v>1558</v>
      </c>
      <c r="D807" t="s">
        <v>1559</v>
      </c>
      <c r="E807">
        <v>5</v>
      </c>
      <c r="F807">
        <v>90.79</v>
      </c>
      <c r="G807" t="s">
        <v>41</v>
      </c>
      <c r="H807" t="s">
        <v>129</v>
      </c>
      <c r="I807" t="s">
        <v>46</v>
      </c>
      <c r="J807" t="b">
        <v>1</v>
      </c>
      <c r="K807" t="s">
        <v>80</v>
      </c>
      <c r="L807" t="s">
        <v>38</v>
      </c>
      <c r="M807" t="s">
        <v>28</v>
      </c>
      <c r="N807">
        <f>YEAR(Table1[[#This Row],[Date]])</f>
        <v>2021</v>
      </c>
      <c r="O807" t="str">
        <f>TEXT(Table1[[#This Row],[Date]],"mmm")</f>
        <v>Apr</v>
      </c>
      <c r="P807" t="str">
        <f>IF(Table1[[#This Row],[Total_Cost]]&lt;25,"low",IF(Table1[[#This Row],[Total_Cost]]&lt;60,"medium","high"))</f>
        <v>high</v>
      </c>
      <c r="Q807" t="str">
        <f>IF(Table1[[#This Row],[Discount_Applied]]=TRUE,"discount applied","no discount")</f>
        <v>discount applied</v>
      </c>
    </row>
    <row r="808" spans="1:17" x14ac:dyDescent="0.3">
      <c r="A808">
        <v>1000000806</v>
      </c>
      <c r="B808" s="1">
        <v>44384.261921296296</v>
      </c>
      <c r="C808" t="s">
        <v>1560</v>
      </c>
      <c r="D808" t="s">
        <v>1561</v>
      </c>
      <c r="E808">
        <v>5</v>
      </c>
      <c r="F808">
        <v>19.309999999999999</v>
      </c>
      <c r="G808" t="s">
        <v>15</v>
      </c>
      <c r="H808" t="s">
        <v>96</v>
      </c>
      <c r="I808" t="s">
        <v>25</v>
      </c>
      <c r="J808" t="b">
        <v>0</v>
      </c>
      <c r="K808" t="s">
        <v>26</v>
      </c>
      <c r="L808" t="s">
        <v>19</v>
      </c>
      <c r="M808" t="s">
        <v>20</v>
      </c>
      <c r="N808">
        <f>YEAR(Table1[[#This Row],[Date]])</f>
        <v>2021</v>
      </c>
      <c r="O808" t="str">
        <f>TEXT(Table1[[#This Row],[Date]],"mmm")</f>
        <v>Jul</v>
      </c>
      <c r="P808" t="str">
        <f>IF(Table1[[#This Row],[Total_Cost]]&lt;25,"low",IF(Table1[[#This Row],[Total_Cost]]&lt;60,"medium","high"))</f>
        <v>low</v>
      </c>
      <c r="Q808" t="str">
        <f>IF(Table1[[#This Row],[Discount_Applied]]=TRUE,"discount applied","no discount")</f>
        <v>no discount</v>
      </c>
    </row>
    <row r="809" spans="1:17" x14ac:dyDescent="0.3">
      <c r="A809">
        <v>1000000807</v>
      </c>
      <c r="B809" s="1">
        <v>44138.286724537036</v>
      </c>
      <c r="C809" t="s">
        <v>1562</v>
      </c>
      <c r="D809" t="s">
        <v>1563</v>
      </c>
      <c r="E809">
        <v>7</v>
      </c>
      <c r="F809">
        <v>28.26</v>
      </c>
      <c r="G809" t="s">
        <v>23</v>
      </c>
      <c r="H809" t="s">
        <v>70</v>
      </c>
      <c r="I809" t="s">
        <v>37</v>
      </c>
      <c r="J809" t="b">
        <v>0</v>
      </c>
      <c r="K809" t="s">
        <v>62</v>
      </c>
      <c r="L809" t="s">
        <v>52</v>
      </c>
      <c r="M809" t="s">
        <v>43</v>
      </c>
      <c r="N809">
        <f>YEAR(Table1[[#This Row],[Date]])</f>
        <v>2020</v>
      </c>
      <c r="O809" t="str">
        <f>TEXT(Table1[[#This Row],[Date]],"mmm")</f>
        <v>Nov</v>
      </c>
      <c r="P809" t="str">
        <f>IF(Table1[[#This Row],[Total_Cost]]&lt;25,"low",IF(Table1[[#This Row],[Total_Cost]]&lt;60,"medium","high"))</f>
        <v>medium</v>
      </c>
      <c r="Q809" t="str">
        <f>IF(Table1[[#This Row],[Discount_Applied]]=TRUE,"discount applied","no discount")</f>
        <v>no discount</v>
      </c>
    </row>
    <row r="810" spans="1:17" x14ac:dyDescent="0.3">
      <c r="A810">
        <v>1000000808</v>
      </c>
      <c r="B810" s="1">
        <v>45191.637569444443</v>
      </c>
      <c r="C810" t="s">
        <v>1564</v>
      </c>
      <c r="D810" t="s">
        <v>108</v>
      </c>
      <c r="E810">
        <v>10</v>
      </c>
      <c r="F810">
        <v>8.48</v>
      </c>
      <c r="G810" t="s">
        <v>23</v>
      </c>
      <c r="H810" t="s">
        <v>32</v>
      </c>
      <c r="I810" t="s">
        <v>59</v>
      </c>
      <c r="J810" t="b">
        <v>0</v>
      </c>
      <c r="K810" t="s">
        <v>47</v>
      </c>
      <c r="L810" t="s">
        <v>19</v>
      </c>
      <c r="M810" t="s">
        <v>43</v>
      </c>
      <c r="N810">
        <f>YEAR(Table1[[#This Row],[Date]])</f>
        <v>2023</v>
      </c>
      <c r="O810" t="str">
        <f>TEXT(Table1[[#This Row],[Date]],"mmm")</f>
        <v>Sep</v>
      </c>
      <c r="P810" t="str">
        <f>IF(Table1[[#This Row],[Total_Cost]]&lt;25,"low",IF(Table1[[#This Row],[Total_Cost]]&lt;60,"medium","high"))</f>
        <v>low</v>
      </c>
      <c r="Q810" t="str">
        <f>IF(Table1[[#This Row],[Discount_Applied]]=TRUE,"discount applied","no discount")</f>
        <v>no discount</v>
      </c>
    </row>
    <row r="811" spans="1:17" x14ac:dyDescent="0.3">
      <c r="A811">
        <v>1000000809</v>
      </c>
      <c r="B811" s="1">
        <v>44714.666435185187</v>
      </c>
      <c r="C811" t="s">
        <v>1565</v>
      </c>
      <c r="D811" t="s">
        <v>1566</v>
      </c>
      <c r="E811">
        <v>5</v>
      </c>
      <c r="F811">
        <v>81.41</v>
      </c>
      <c r="G811" t="s">
        <v>23</v>
      </c>
      <c r="H811" t="s">
        <v>65</v>
      </c>
      <c r="I811" t="s">
        <v>37</v>
      </c>
      <c r="J811" t="b">
        <v>1</v>
      </c>
      <c r="K811" t="s">
        <v>42</v>
      </c>
      <c r="L811" t="s">
        <v>52</v>
      </c>
      <c r="M811" t="s">
        <v>28</v>
      </c>
      <c r="N811">
        <f>YEAR(Table1[[#This Row],[Date]])</f>
        <v>2022</v>
      </c>
      <c r="O811" t="str">
        <f>TEXT(Table1[[#This Row],[Date]],"mmm")</f>
        <v>Jun</v>
      </c>
      <c r="P811" t="str">
        <f>IF(Table1[[#This Row],[Total_Cost]]&lt;25,"low",IF(Table1[[#This Row],[Total_Cost]]&lt;60,"medium","high"))</f>
        <v>high</v>
      </c>
      <c r="Q811" t="str">
        <f>IF(Table1[[#This Row],[Discount_Applied]]=TRUE,"discount applied","no discount")</f>
        <v>discount applied</v>
      </c>
    </row>
    <row r="812" spans="1:17" x14ac:dyDescent="0.3">
      <c r="A812">
        <v>1000000810</v>
      </c>
      <c r="B812" s="1">
        <v>43961.474999999999</v>
      </c>
      <c r="C812" t="s">
        <v>1567</v>
      </c>
      <c r="D812" t="s">
        <v>1038</v>
      </c>
      <c r="E812">
        <v>6</v>
      </c>
      <c r="F812">
        <v>84.84</v>
      </c>
      <c r="G812" t="s">
        <v>41</v>
      </c>
      <c r="H812" t="s">
        <v>16</v>
      </c>
      <c r="I812" t="s">
        <v>59</v>
      </c>
      <c r="J812" t="b">
        <v>1</v>
      </c>
      <c r="K812" t="s">
        <v>47</v>
      </c>
      <c r="L812" t="s">
        <v>27</v>
      </c>
      <c r="M812" t="s">
        <v>20</v>
      </c>
      <c r="N812">
        <f>YEAR(Table1[[#This Row],[Date]])</f>
        <v>2020</v>
      </c>
      <c r="O812" t="str">
        <f>TEXT(Table1[[#This Row],[Date]],"mmm")</f>
        <v>May</v>
      </c>
      <c r="P812" t="str">
        <f>IF(Table1[[#This Row],[Total_Cost]]&lt;25,"low",IF(Table1[[#This Row],[Total_Cost]]&lt;60,"medium","high"))</f>
        <v>high</v>
      </c>
      <c r="Q812" t="str">
        <f>IF(Table1[[#This Row],[Discount_Applied]]=TRUE,"discount applied","no discount")</f>
        <v>discount applied</v>
      </c>
    </row>
    <row r="813" spans="1:17" x14ac:dyDescent="0.3">
      <c r="A813">
        <v>1000000811</v>
      </c>
      <c r="B813" s="1">
        <v>43935.389374999999</v>
      </c>
      <c r="C813" t="s">
        <v>1568</v>
      </c>
      <c r="D813" t="s">
        <v>1569</v>
      </c>
      <c r="E813">
        <v>7</v>
      </c>
      <c r="F813">
        <v>71.64</v>
      </c>
      <c r="G813" t="s">
        <v>41</v>
      </c>
      <c r="H813" t="s">
        <v>24</v>
      </c>
      <c r="I813" t="s">
        <v>33</v>
      </c>
      <c r="J813" t="b">
        <v>0</v>
      </c>
      <c r="K813" t="s">
        <v>51</v>
      </c>
      <c r="L813" t="s">
        <v>38</v>
      </c>
      <c r="M813" t="s">
        <v>20</v>
      </c>
      <c r="N813">
        <f>YEAR(Table1[[#This Row],[Date]])</f>
        <v>2020</v>
      </c>
      <c r="O813" t="str">
        <f>TEXT(Table1[[#This Row],[Date]],"mmm")</f>
        <v>Apr</v>
      </c>
      <c r="P813" t="str">
        <f>IF(Table1[[#This Row],[Total_Cost]]&lt;25,"low",IF(Table1[[#This Row],[Total_Cost]]&lt;60,"medium","high"))</f>
        <v>high</v>
      </c>
      <c r="Q813" t="str">
        <f>IF(Table1[[#This Row],[Discount_Applied]]=TRUE,"discount applied","no discount")</f>
        <v>no discount</v>
      </c>
    </row>
    <row r="814" spans="1:17" x14ac:dyDescent="0.3">
      <c r="A814">
        <v>1000000812</v>
      </c>
      <c r="B814" s="1">
        <v>44514.373530092591</v>
      </c>
      <c r="C814" t="s">
        <v>1570</v>
      </c>
      <c r="D814" t="s">
        <v>1571</v>
      </c>
      <c r="E814">
        <v>8</v>
      </c>
      <c r="F814">
        <v>20.05</v>
      </c>
      <c r="G814" t="s">
        <v>41</v>
      </c>
      <c r="H814" t="s">
        <v>50</v>
      </c>
      <c r="I814" t="s">
        <v>17</v>
      </c>
      <c r="J814" t="b">
        <v>1</v>
      </c>
      <c r="K814" t="s">
        <v>80</v>
      </c>
      <c r="L814" t="s">
        <v>27</v>
      </c>
      <c r="M814" t="s">
        <v>28</v>
      </c>
      <c r="N814">
        <f>YEAR(Table1[[#This Row],[Date]])</f>
        <v>2021</v>
      </c>
      <c r="O814" t="str">
        <f>TEXT(Table1[[#This Row],[Date]],"mmm")</f>
        <v>Nov</v>
      </c>
      <c r="P814" t="str">
        <f>IF(Table1[[#This Row],[Total_Cost]]&lt;25,"low",IF(Table1[[#This Row],[Total_Cost]]&lt;60,"medium","high"))</f>
        <v>low</v>
      </c>
      <c r="Q814" t="str">
        <f>IF(Table1[[#This Row],[Discount_Applied]]=TRUE,"discount applied","no discount")</f>
        <v>discount applied</v>
      </c>
    </row>
    <row r="815" spans="1:17" x14ac:dyDescent="0.3">
      <c r="A815">
        <v>1000000813</v>
      </c>
      <c r="B815" s="1">
        <v>44268.274155092593</v>
      </c>
      <c r="C815" t="s">
        <v>1572</v>
      </c>
      <c r="D815" t="s">
        <v>1573</v>
      </c>
      <c r="E815">
        <v>6</v>
      </c>
      <c r="F815">
        <v>49.74</v>
      </c>
      <c r="G815" t="s">
        <v>15</v>
      </c>
      <c r="H815" t="s">
        <v>24</v>
      </c>
      <c r="I815" t="s">
        <v>37</v>
      </c>
      <c r="J815" t="b">
        <v>1</v>
      </c>
      <c r="K815" t="s">
        <v>51</v>
      </c>
      <c r="L815" t="s">
        <v>38</v>
      </c>
      <c r="M815" t="s">
        <v>28</v>
      </c>
      <c r="N815">
        <f>YEAR(Table1[[#This Row],[Date]])</f>
        <v>2021</v>
      </c>
      <c r="O815" t="str">
        <f>TEXT(Table1[[#This Row],[Date]],"mmm")</f>
        <v>Mar</v>
      </c>
      <c r="P815" t="str">
        <f>IF(Table1[[#This Row],[Total_Cost]]&lt;25,"low",IF(Table1[[#This Row],[Total_Cost]]&lt;60,"medium","high"))</f>
        <v>medium</v>
      </c>
      <c r="Q815" t="str">
        <f>IF(Table1[[#This Row],[Discount_Applied]]=TRUE,"discount applied","no discount")</f>
        <v>discount applied</v>
      </c>
    </row>
    <row r="816" spans="1:17" x14ac:dyDescent="0.3">
      <c r="A816">
        <v>1000000814</v>
      </c>
      <c r="B816" s="1">
        <v>43944.155787037038</v>
      </c>
      <c r="C816" t="s">
        <v>1574</v>
      </c>
      <c r="D816" t="s">
        <v>1575</v>
      </c>
      <c r="E816">
        <v>9</v>
      </c>
      <c r="F816">
        <v>62.19</v>
      </c>
      <c r="G816" t="s">
        <v>41</v>
      </c>
      <c r="H816" t="s">
        <v>96</v>
      </c>
      <c r="I816" t="s">
        <v>37</v>
      </c>
      <c r="J816" t="b">
        <v>0</v>
      </c>
      <c r="K816" t="s">
        <v>62</v>
      </c>
      <c r="L816" t="s">
        <v>19</v>
      </c>
      <c r="M816" t="s">
        <v>43</v>
      </c>
      <c r="N816">
        <f>YEAR(Table1[[#This Row],[Date]])</f>
        <v>2020</v>
      </c>
      <c r="O816" t="str">
        <f>TEXT(Table1[[#This Row],[Date]],"mmm")</f>
        <v>Apr</v>
      </c>
      <c r="P816" t="str">
        <f>IF(Table1[[#This Row],[Total_Cost]]&lt;25,"low",IF(Table1[[#This Row],[Total_Cost]]&lt;60,"medium","high"))</f>
        <v>high</v>
      </c>
      <c r="Q816" t="str">
        <f>IF(Table1[[#This Row],[Discount_Applied]]=TRUE,"discount applied","no discount")</f>
        <v>no discount</v>
      </c>
    </row>
    <row r="817" spans="1:17" x14ac:dyDescent="0.3">
      <c r="A817">
        <v>1000000815</v>
      </c>
      <c r="B817" s="1">
        <v>44282.917870370373</v>
      </c>
      <c r="C817" t="s">
        <v>1576</v>
      </c>
      <c r="D817" t="s">
        <v>1577</v>
      </c>
      <c r="E817">
        <v>9</v>
      </c>
      <c r="F817">
        <v>40.36</v>
      </c>
      <c r="G817" t="s">
        <v>23</v>
      </c>
      <c r="H817" t="s">
        <v>50</v>
      </c>
      <c r="I817" t="s">
        <v>25</v>
      </c>
      <c r="J817" t="b">
        <v>1</v>
      </c>
      <c r="K817" t="s">
        <v>62</v>
      </c>
      <c r="L817" t="s">
        <v>52</v>
      </c>
      <c r="M817" t="s">
        <v>43</v>
      </c>
      <c r="N817">
        <f>YEAR(Table1[[#This Row],[Date]])</f>
        <v>2021</v>
      </c>
      <c r="O817" t="str">
        <f>TEXT(Table1[[#This Row],[Date]],"mmm")</f>
        <v>Mar</v>
      </c>
      <c r="P817" t="str">
        <f>IF(Table1[[#This Row],[Total_Cost]]&lt;25,"low",IF(Table1[[#This Row],[Total_Cost]]&lt;60,"medium","high"))</f>
        <v>medium</v>
      </c>
      <c r="Q817" t="str">
        <f>IF(Table1[[#This Row],[Discount_Applied]]=TRUE,"discount applied","no discount")</f>
        <v>discount applied</v>
      </c>
    </row>
    <row r="818" spans="1:17" x14ac:dyDescent="0.3">
      <c r="A818">
        <v>1000000816</v>
      </c>
      <c r="B818" s="1">
        <v>44218.922430555554</v>
      </c>
      <c r="C818" t="s">
        <v>1578</v>
      </c>
      <c r="D818" t="s">
        <v>811</v>
      </c>
      <c r="E818">
        <v>7</v>
      </c>
      <c r="F818">
        <v>29.93</v>
      </c>
      <c r="G818" t="s">
        <v>41</v>
      </c>
      <c r="H818" t="s">
        <v>129</v>
      </c>
      <c r="I818" t="s">
        <v>25</v>
      </c>
      <c r="J818" t="b">
        <v>1</v>
      </c>
      <c r="K818" t="s">
        <v>80</v>
      </c>
      <c r="L818" t="s">
        <v>27</v>
      </c>
      <c r="M818" t="s">
        <v>20</v>
      </c>
      <c r="N818">
        <f>YEAR(Table1[[#This Row],[Date]])</f>
        <v>2021</v>
      </c>
      <c r="O818" t="str">
        <f>TEXT(Table1[[#This Row],[Date]],"mmm")</f>
        <v>Jan</v>
      </c>
      <c r="P818" t="str">
        <f>IF(Table1[[#This Row],[Total_Cost]]&lt;25,"low",IF(Table1[[#This Row],[Total_Cost]]&lt;60,"medium","high"))</f>
        <v>medium</v>
      </c>
      <c r="Q818" t="str">
        <f>IF(Table1[[#This Row],[Discount_Applied]]=TRUE,"discount applied","no discount")</f>
        <v>discount applied</v>
      </c>
    </row>
    <row r="819" spans="1:17" x14ac:dyDescent="0.3">
      <c r="A819">
        <v>1000000817</v>
      </c>
      <c r="B819" s="1">
        <v>44023.857604166667</v>
      </c>
      <c r="C819" t="s">
        <v>1579</v>
      </c>
      <c r="D819" t="s">
        <v>1580</v>
      </c>
      <c r="E819">
        <v>9</v>
      </c>
      <c r="F819">
        <v>28.52</v>
      </c>
      <c r="G819" t="s">
        <v>15</v>
      </c>
      <c r="H819" t="s">
        <v>32</v>
      </c>
      <c r="I819" t="s">
        <v>25</v>
      </c>
      <c r="J819" t="b">
        <v>0</v>
      </c>
      <c r="K819" t="s">
        <v>62</v>
      </c>
      <c r="L819" t="s">
        <v>52</v>
      </c>
      <c r="M819" t="s">
        <v>43</v>
      </c>
      <c r="N819">
        <f>YEAR(Table1[[#This Row],[Date]])</f>
        <v>2020</v>
      </c>
      <c r="O819" t="str">
        <f>TEXT(Table1[[#This Row],[Date]],"mmm")</f>
        <v>Jul</v>
      </c>
      <c r="P819" t="str">
        <f>IF(Table1[[#This Row],[Total_Cost]]&lt;25,"low",IF(Table1[[#This Row],[Total_Cost]]&lt;60,"medium","high"))</f>
        <v>medium</v>
      </c>
      <c r="Q819" t="str">
        <f>IF(Table1[[#This Row],[Discount_Applied]]=TRUE,"discount applied","no discount")</f>
        <v>no discount</v>
      </c>
    </row>
    <row r="820" spans="1:17" x14ac:dyDescent="0.3">
      <c r="A820">
        <v>1000000818</v>
      </c>
      <c r="B820" s="1">
        <v>44976.306030092594</v>
      </c>
      <c r="C820" t="s">
        <v>1581</v>
      </c>
      <c r="D820" t="s">
        <v>1582</v>
      </c>
      <c r="E820">
        <v>9</v>
      </c>
      <c r="F820">
        <v>92.79</v>
      </c>
      <c r="G820" t="s">
        <v>41</v>
      </c>
      <c r="H820" t="s">
        <v>129</v>
      </c>
      <c r="I820" t="s">
        <v>17</v>
      </c>
      <c r="J820" t="b">
        <v>1</v>
      </c>
      <c r="K820" t="s">
        <v>87</v>
      </c>
      <c r="L820" t="s">
        <v>19</v>
      </c>
      <c r="M820" t="s">
        <v>28</v>
      </c>
      <c r="N820">
        <f>YEAR(Table1[[#This Row],[Date]])</f>
        <v>2023</v>
      </c>
      <c r="O820" t="str">
        <f>TEXT(Table1[[#This Row],[Date]],"mmm")</f>
        <v>Feb</v>
      </c>
      <c r="P820" t="str">
        <f>IF(Table1[[#This Row],[Total_Cost]]&lt;25,"low",IF(Table1[[#This Row],[Total_Cost]]&lt;60,"medium","high"))</f>
        <v>high</v>
      </c>
      <c r="Q820" t="str">
        <f>IF(Table1[[#This Row],[Discount_Applied]]=TRUE,"discount applied","no discount")</f>
        <v>discount applied</v>
      </c>
    </row>
    <row r="821" spans="1:17" x14ac:dyDescent="0.3">
      <c r="A821">
        <v>1000000819</v>
      </c>
      <c r="B821" s="1">
        <v>44895.557337962964</v>
      </c>
      <c r="C821" t="s">
        <v>1583</v>
      </c>
      <c r="D821" t="s">
        <v>1584</v>
      </c>
      <c r="E821">
        <v>9</v>
      </c>
      <c r="F821">
        <v>12.06</v>
      </c>
      <c r="G821" t="s">
        <v>15</v>
      </c>
      <c r="H821" t="s">
        <v>129</v>
      </c>
      <c r="I821" t="s">
        <v>37</v>
      </c>
      <c r="J821" t="b">
        <v>0</v>
      </c>
      <c r="K821" t="s">
        <v>42</v>
      </c>
      <c r="L821" t="s">
        <v>38</v>
      </c>
      <c r="M821" t="s">
        <v>20</v>
      </c>
      <c r="N821">
        <f>YEAR(Table1[[#This Row],[Date]])</f>
        <v>2022</v>
      </c>
      <c r="O821" t="str">
        <f>TEXT(Table1[[#This Row],[Date]],"mmm")</f>
        <v>Nov</v>
      </c>
      <c r="P821" t="str">
        <f>IF(Table1[[#This Row],[Total_Cost]]&lt;25,"low",IF(Table1[[#This Row],[Total_Cost]]&lt;60,"medium","high"))</f>
        <v>low</v>
      </c>
      <c r="Q821" t="str">
        <f>IF(Table1[[#This Row],[Discount_Applied]]=TRUE,"discount applied","no discount")</f>
        <v>no discount</v>
      </c>
    </row>
    <row r="822" spans="1:17" x14ac:dyDescent="0.3">
      <c r="A822">
        <v>1000000820</v>
      </c>
      <c r="B822" s="1">
        <v>44352.97861111111</v>
      </c>
      <c r="C822" t="s">
        <v>1585</v>
      </c>
      <c r="D822" t="s">
        <v>1586</v>
      </c>
      <c r="E822">
        <v>10</v>
      </c>
      <c r="F822">
        <v>23.58</v>
      </c>
      <c r="G822" t="s">
        <v>23</v>
      </c>
      <c r="H822" t="s">
        <v>129</v>
      </c>
      <c r="I822" t="s">
        <v>17</v>
      </c>
      <c r="J822" t="b">
        <v>0</v>
      </c>
      <c r="K822" t="s">
        <v>18</v>
      </c>
      <c r="L822" t="s">
        <v>19</v>
      </c>
      <c r="M822" t="s">
        <v>28</v>
      </c>
      <c r="N822">
        <f>YEAR(Table1[[#This Row],[Date]])</f>
        <v>2021</v>
      </c>
      <c r="O822" t="str">
        <f>TEXT(Table1[[#This Row],[Date]],"mmm")</f>
        <v>Jun</v>
      </c>
      <c r="P822" t="str">
        <f>IF(Table1[[#This Row],[Total_Cost]]&lt;25,"low",IF(Table1[[#This Row],[Total_Cost]]&lt;60,"medium","high"))</f>
        <v>low</v>
      </c>
      <c r="Q822" t="str">
        <f>IF(Table1[[#This Row],[Discount_Applied]]=TRUE,"discount applied","no discount")</f>
        <v>no discount</v>
      </c>
    </row>
    <row r="823" spans="1:17" x14ac:dyDescent="0.3">
      <c r="A823">
        <v>1000000821</v>
      </c>
      <c r="B823" s="1">
        <v>43939.879837962966</v>
      </c>
      <c r="C823" t="s">
        <v>1587</v>
      </c>
      <c r="D823" t="s">
        <v>1588</v>
      </c>
      <c r="E823">
        <v>4</v>
      </c>
      <c r="F823">
        <v>48.95</v>
      </c>
      <c r="G823" t="s">
        <v>31</v>
      </c>
      <c r="H823" t="s">
        <v>129</v>
      </c>
      <c r="I823" t="s">
        <v>46</v>
      </c>
      <c r="J823" t="b">
        <v>1</v>
      </c>
      <c r="K823" t="s">
        <v>18</v>
      </c>
      <c r="L823" t="s">
        <v>52</v>
      </c>
      <c r="M823" t="s">
        <v>43</v>
      </c>
      <c r="N823">
        <f>YEAR(Table1[[#This Row],[Date]])</f>
        <v>2020</v>
      </c>
      <c r="O823" t="str">
        <f>TEXT(Table1[[#This Row],[Date]],"mmm")</f>
        <v>Apr</v>
      </c>
      <c r="P823" t="str">
        <f>IF(Table1[[#This Row],[Total_Cost]]&lt;25,"low",IF(Table1[[#This Row],[Total_Cost]]&lt;60,"medium","high"))</f>
        <v>medium</v>
      </c>
      <c r="Q823" t="str">
        <f>IF(Table1[[#This Row],[Discount_Applied]]=TRUE,"discount applied","no discount")</f>
        <v>discount applied</v>
      </c>
    </row>
    <row r="824" spans="1:17" x14ac:dyDescent="0.3">
      <c r="A824">
        <v>1000000822</v>
      </c>
      <c r="B824" s="1">
        <v>44706.162395833337</v>
      </c>
      <c r="C824" t="s">
        <v>1589</v>
      </c>
      <c r="D824" t="s">
        <v>1590</v>
      </c>
      <c r="E824">
        <v>3</v>
      </c>
      <c r="F824">
        <v>23.93</v>
      </c>
      <c r="G824" t="s">
        <v>41</v>
      </c>
      <c r="H824" t="s">
        <v>16</v>
      </c>
      <c r="I824" t="s">
        <v>46</v>
      </c>
      <c r="J824" t="b">
        <v>0</v>
      </c>
      <c r="K824" t="s">
        <v>47</v>
      </c>
      <c r="L824" t="s">
        <v>27</v>
      </c>
      <c r="M824" t="s">
        <v>20</v>
      </c>
      <c r="N824">
        <f>YEAR(Table1[[#This Row],[Date]])</f>
        <v>2022</v>
      </c>
      <c r="O824" t="str">
        <f>TEXT(Table1[[#This Row],[Date]],"mmm")</f>
        <v>May</v>
      </c>
      <c r="P824" t="str">
        <f>IF(Table1[[#This Row],[Total_Cost]]&lt;25,"low",IF(Table1[[#This Row],[Total_Cost]]&lt;60,"medium","high"))</f>
        <v>low</v>
      </c>
      <c r="Q824" t="str">
        <f>IF(Table1[[#This Row],[Discount_Applied]]=TRUE,"discount applied","no discount")</f>
        <v>no discount</v>
      </c>
    </row>
    <row r="825" spans="1:17" x14ac:dyDescent="0.3">
      <c r="A825">
        <v>1000000823</v>
      </c>
      <c r="B825" s="1">
        <v>44275.768043981479</v>
      </c>
      <c r="C825" t="s">
        <v>1591</v>
      </c>
      <c r="D825" t="s">
        <v>1592</v>
      </c>
      <c r="E825">
        <v>10</v>
      </c>
      <c r="F825">
        <v>72.45</v>
      </c>
      <c r="G825" t="s">
        <v>31</v>
      </c>
      <c r="H825" t="s">
        <v>129</v>
      </c>
      <c r="I825" t="s">
        <v>17</v>
      </c>
      <c r="J825" t="b">
        <v>0</v>
      </c>
      <c r="K825" t="s">
        <v>42</v>
      </c>
      <c r="L825" t="s">
        <v>38</v>
      </c>
      <c r="M825" t="s">
        <v>43</v>
      </c>
      <c r="N825">
        <f>YEAR(Table1[[#This Row],[Date]])</f>
        <v>2021</v>
      </c>
      <c r="O825" t="str">
        <f>TEXT(Table1[[#This Row],[Date]],"mmm")</f>
        <v>Mar</v>
      </c>
      <c r="P825" t="str">
        <f>IF(Table1[[#This Row],[Total_Cost]]&lt;25,"low",IF(Table1[[#This Row],[Total_Cost]]&lt;60,"medium","high"))</f>
        <v>high</v>
      </c>
      <c r="Q825" t="str">
        <f>IF(Table1[[#This Row],[Discount_Applied]]=TRUE,"discount applied","no discount")</f>
        <v>no discount</v>
      </c>
    </row>
    <row r="826" spans="1:17" x14ac:dyDescent="0.3">
      <c r="A826">
        <v>1000000824</v>
      </c>
      <c r="B826" s="1">
        <v>44550.850740740738</v>
      </c>
      <c r="C826" t="s">
        <v>1593</v>
      </c>
      <c r="D826" t="s">
        <v>1594</v>
      </c>
      <c r="E826">
        <v>8</v>
      </c>
      <c r="F826">
        <v>77.06</v>
      </c>
      <c r="G826" t="s">
        <v>41</v>
      </c>
      <c r="H826" t="s">
        <v>77</v>
      </c>
      <c r="I826" t="s">
        <v>37</v>
      </c>
      <c r="J826" t="b">
        <v>1</v>
      </c>
      <c r="K826" t="s">
        <v>26</v>
      </c>
      <c r="L826" t="s">
        <v>38</v>
      </c>
      <c r="M826" t="s">
        <v>20</v>
      </c>
      <c r="N826">
        <f>YEAR(Table1[[#This Row],[Date]])</f>
        <v>2021</v>
      </c>
      <c r="O826" t="str">
        <f>TEXT(Table1[[#This Row],[Date]],"mmm")</f>
        <v>Dec</v>
      </c>
      <c r="P826" t="str">
        <f>IF(Table1[[#This Row],[Total_Cost]]&lt;25,"low",IF(Table1[[#This Row],[Total_Cost]]&lt;60,"medium","high"))</f>
        <v>high</v>
      </c>
      <c r="Q826" t="str">
        <f>IF(Table1[[#This Row],[Discount_Applied]]=TRUE,"discount applied","no discount")</f>
        <v>discount applied</v>
      </c>
    </row>
    <row r="827" spans="1:17" x14ac:dyDescent="0.3">
      <c r="A827">
        <v>1000000825</v>
      </c>
      <c r="B827" s="1">
        <v>44254.30976851852</v>
      </c>
      <c r="C827" t="s">
        <v>1595</v>
      </c>
      <c r="D827" t="s">
        <v>1596</v>
      </c>
      <c r="E827">
        <v>6</v>
      </c>
      <c r="F827">
        <v>31.76</v>
      </c>
      <c r="G827" t="s">
        <v>23</v>
      </c>
      <c r="H827" t="s">
        <v>36</v>
      </c>
      <c r="I827" t="s">
        <v>33</v>
      </c>
      <c r="J827" t="b">
        <v>1</v>
      </c>
      <c r="K827" t="s">
        <v>62</v>
      </c>
      <c r="L827" t="s">
        <v>19</v>
      </c>
      <c r="M827" t="s">
        <v>43</v>
      </c>
      <c r="N827">
        <f>YEAR(Table1[[#This Row],[Date]])</f>
        <v>2021</v>
      </c>
      <c r="O827" t="str">
        <f>TEXT(Table1[[#This Row],[Date]],"mmm")</f>
        <v>Feb</v>
      </c>
      <c r="P827" t="str">
        <f>IF(Table1[[#This Row],[Total_Cost]]&lt;25,"low",IF(Table1[[#This Row],[Total_Cost]]&lt;60,"medium","high"))</f>
        <v>medium</v>
      </c>
      <c r="Q827" t="str">
        <f>IF(Table1[[#This Row],[Discount_Applied]]=TRUE,"discount applied","no discount")</f>
        <v>discount applied</v>
      </c>
    </row>
    <row r="828" spans="1:17" x14ac:dyDescent="0.3">
      <c r="A828">
        <v>1000000826</v>
      </c>
      <c r="B828" s="1">
        <v>44500.267824074072</v>
      </c>
      <c r="C828" t="s">
        <v>1597</v>
      </c>
      <c r="D828" t="s">
        <v>1598</v>
      </c>
      <c r="E828">
        <v>6</v>
      </c>
      <c r="F828">
        <v>14.2</v>
      </c>
      <c r="G828" t="s">
        <v>23</v>
      </c>
      <c r="H828" t="s">
        <v>65</v>
      </c>
      <c r="I828" t="s">
        <v>37</v>
      </c>
      <c r="J828" t="b">
        <v>0</v>
      </c>
      <c r="K828" t="s">
        <v>87</v>
      </c>
      <c r="L828" t="s">
        <v>27</v>
      </c>
      <c r="M828" t="s">
        <v>43</v>
      </c>
      <c r="N828">
        <f>YEAR(Table1[[#This Row],[Date]])</f>
        <v>2021</v>
      </c>
      <c r="O828" t="str">
        <f>TEXT(Table1[[#This Row],[Date]],"mmm")</f>
        <v>Oct</v>
      </c>
      <c r="P828" t="str">
        <f>IF(Table1[[#This Row],[Total_Cost]]&lt;25,"low",IF(Table1[[#This Row],[Total_Cost]]&lt;60,"medium","high"))</f>
        <v>low</v>
      </c>
      <c r="Q828" t="str">
        <f>IF(Table1[[#This Row],[Discount_Applied]]=TRUE,"discount applied","no discount")</f>
        <v>no discount</v>
      </c>
    </row>
    <row r="829" spans="1:17" x14ac:dyDescent="0.3">
      <c r="A829">
        <v>1000000827</v>
      </c>
      <c r="B829" s="1">
        <v>45361.166122685187</v>
      </c>
      <c r="C829" t="s">
        <v>1599</v>
      </c>
      <c r="D829" t="s">
        <v>40</v>
      </c>
      <c r="E829">
        <v>10</v>
      </c>
      <c r="F829">
        <v>34.49</v>
      </c>
      <c r="G829" t="s">
        <v>31</v>
      </c>
      <c r="H829" t="s">
        <v>36</v>
      </c>
      <c r="I829" t="s">
        <v>37</v>
      </c>
      <c r="J829" t="b">
        <v>0</v>
      </c>
      <c r="K829" t="s">
        <v>62</v>
      </c>
      <c r="L829" t="s">
        <v>27</v>
      </c>
      <c r="M829" t="s">
        <v>28</v>
      </c>
      <c r="N829">
        <f>YEAR(Table1[[#This Row],[Date]])</f>
        <v>2024</v>
      </c>
      <c r="O829" t="str">
        <f>TEXT(Table1[[#This Row],[Date]],"mmm")</f>
        <v>Mar</v>
      </c>
      <c r="P829" t="str">
        <f>IF(Table1[[#This Row],[Total_Cost]]&lt;25,"low",IF(Table1[[#This Row],[Total_Cost]]&lt;60,"medium","high"))</f>
        <v>medium</v>
      </c>
      <c r="Q829" t="str">
        <f>IF(Table1[[#This Row],[Discount_Applied]]=TRUE,"discount applied","no discount")</f>
        <v>no discount</v>
      </c>
    </row>
    <row r="830" spans="1:17" x14ac:dyDescent="0.3">
      <c r="A830">
        <v>1000000828</v>
      </c>
      <c r="B830" s="1">
        <v>44851.764988425923</v>
      </c>
      <c r="C830" t="s">
        <v>1600</v>
      </c>
      <c r="D830" t="s">
        <v>159</v>
      </c>
      <c r="E830">
        <v>1</v>
      </c>
      <c r="F830">
        <v>7.26</v>
      </c>
      <c r="G830" t="s">
        <v>23</v>
      </c>
      <c r="H830" t="s">
        <v>36</v>
      </c>
      <c r="I830" t="s">
        <v>17</v>
      </c>
      <c r="J830" t="b">
        <v>1</v>
      </c>
      <c r="K830" t="s">
        <v>62</v>
      </c>
      <c r="L830" t="s">
        <v>52</v>
      </c>
      <c r="M830" t="s">
        <v>43</v>
      </c>
      <c r="N830">
        <f>YEAR(Table1[[#This Row],[Date]])</f>
        <v>2022</v>
      </c>
      <c r="O830" t="str">
        <f>TEXT(Table1[[#This Row],[Date]],"mmm")</f>
        <v>Oct</v>
      </c>
      <c r="P830" t="str">
        <f>IF(Table1[[#This Row],[Total_Cost]]&lt;25,"low",IF(Table1[[#This Row],[Total_Cost]]&lt;60,"medium","high"))</f>
        <v>low</v>
      </c>
      <c r="Q830" t="str">
        <f>IF(Table1[[#This Row],[Discount_Applied]]=TRUE,"discount applied","no discount")</f>
        <v>discount applied</v>
      </c>
    </row>
    <row r="831" spans="1:17" x14ac:dyDescent="0.3">
      <c r="A831">
        <v>1000000829</v>
      </c>
      <c r="B831" s="1">
        <v>44979.476412037038</v>
      </c>
      <c r="C831" t="s">
        <v>440</v>
      </c>
      <c r="D831" t="s">
        <v>1601</v>
      </c>
      <c r="E831">
        <v>7</v>
      </c>
      <c r="F831">
        <v>6.22</v>
      </c>
      <c r="G831" t="s">
        <v>41</v>
      </c>
      <c r="H831" t="s">
        <v>65</v>
      </c>
      <c r="I831" t="s">
        <v>37</v>
      </c>
      <c r="J831" t="b">
        <v>0</v>
      </c>
      <c r="K831" t="s">
        <v>62</v>
      </c>
      <c r="L831" t="s">
        <v>27</v>
      </c>
      <c r="M831" t="s">
        <v>20</v>
      </c>
      <c r="N831">
        <f>YEAR(Table1[[#This Row],[Date]])</f>
        <v>2023</v>
      </c>
      <c r="O831" t="str">
        <f>TEXT(Table1[[#This Row],[Date]],"mmm")</f>
        <v>Feb</v>
      </c>
      <c r="P831" t="str">
        <f>IF(Table1[[#This Row],[Total_Cost]]&lt;25,"low",IF(Table1[[#This Row],[Total_Cost]]&lt;60,"medium","high"))</f>
        <v>low</v>
      </c>
      <c r="Q831" t="str">
        <f>IF(Table1[[#This Row],[Discount_Applied]]=TRUE,"discount applied","no discount")</f>
        <v>no discount</v>
      </c>
    </row>
    <row r="832" spans="1:17" x14ac:dyDescent="0.3">
      <c r="A832">
        <v>1000000830</v>
      </c>
      <c r="B832" s="1">
        <v>45386.085775462961</v>
      </c>
      <c r="C832" t="s">
        <v>1602</v>
      </c>
      <c r="D832" t="s">
        <v>759</v>
      </c>
      <c r="E832">
        <v>10</v>
      </c>
      <c r="F832">
        <v>20.68</v>
      </c>
      <c r="G832" t="s">
        <v>15</v>
      </c>
      <c r="H832" t="s">
        <v>70</v>
      </c>
      <c r="I832" t="s">
        <v>25</v>
      </c>
      <c r="J832" t="b">
        <v>0</v>
      </c>
      <c r="K832" t="s">
        <v>18</v>
      </c>
      <c r="L832" t="s">
        <v>19</v>
      </c>
      <c r="M832" t="s">
        <v>28</v>
      </c>
      <c r="N832">
        <f>YEAR(Table1[[#This Row],[Date]])</f>
        <v>2024</v>
      </c>
      <c r="O832" t="str">
        <f>TEXT(Table1[[#This Row],[Date]],"mmm")</f>
        <v>Apr</v>
      </c>
      <c r="P832" t="str">
        <f>IF(Table1[[#This Row],[Total_Cost]]&lt;25,"low",IF(Table1[[#This Row],[Total_Cost]]&lt;60,"medium","high"))</f>
        <v>low</v>
      </c>
      <c r="Q832" t="str">
        <f>IF(Table1[[#This Row],[Discount_Applied]]=TRUE,"discount applied","no discount")</f>
        <v>no discount</v>
      </c>
    </row>
    <row r="833" spans="1:17" x14ac:dyDescent="0.3">
      <c r="A833">
        <v>1000000831</v>
      </c>
      <c r="B833" s="1">
        <v>44385.239444444444</v>
      </c>
      <c r="C833" t="s">
        <v>1603</v>
      </c>
      <c r="D833" t="s">
        <v>1604</v>
      </c>
      <c r="E833">
        <v>6</v>
      </c>
      <c r="F833">
        <v>21.42</v>
      </c>
      <c r="G833" t="s">
        <v>31</v>
      </c>
      <c r="H833" t="s">
        <v>96</v>
      </c>
      <c r="I833" t="s">
        <v>25</v>
      </c>
      <c r="J833" t="b">
        <v>1</v>
      </c>
      <c r="K833" t="s">
        <v>87</v>
      </c>
      <c r="L833" t="s">
        <v>27</v>
      </c>
      <c r="M833" t="s">
        <v>43</v>
      </c>
      <c r="N833">
        <f>YEAR(Table1[[#This Row],[Date]])</f>
        <v>2021</v>
      </c>
      <c r="O833" t="str">
        <f>TEXT(Table1[[#This Row],[Date]],"mmm")</f>
        <v>Jul</v>
      </c>
      <c r="P833" t="str">
        <f>IF(Table1[[#This Row],[Total_Cost]]&lt;25,"low",IF(Table1[[#This Row],[Total_Cost]]&lt;60,"medium","high"))</f>
        <v>low</v>
      </c>
      <c r="Q833" t="str">
        <f>IF(Table1[[#This Row],[Discount_Applied]]=TRUE,"discount applied","no discount")</f>
        <v>discount applied</v>
      </c>
    </row>
    <row r="834" spans="1:17" x14ac:dyDescent="0.3">
      <c r="A834">
        <v>1000000832</v>
      </c>
      <c r="B834" s="1">
        <v>43949.676608796297</v>
      </c>
      <c r="C834" t="s">
        <v>1605</v>
      </c>
      <c r="D834" t="s">
        <v>1606</v>
      </c>
      <c r="E834">
        <v>3</v>
      </c>
      <c r="F834">
        <v>49.61</v>
      </c>
      <c r="G834" t="s">
        <v>41</v>
      </c>
      <c r="H834" t="s">
        <v>36</v>
      </c>
      <c r="I834" t="s">
        <v>37</v>
      </c>
      <c r="J834" t="b">
        <v>1</v>
      </c>
      <c r="K834" t="s">
        <v>47</v>
      </c>
      <c r="L834" t="s">
        <v>52</v>
      </c>
      <c r="M834" t="s">
        <v>43</v>
      </c>
      <c r="N834">
        <f>YEAR(Table1[[#This Row],[Date]])</f>
        <v>2020</v>
      </c>
      <c r="O834" t="str">
        <f>TEXT(Table1[[#This Row],[Date]],"mmm")</f>
        <v>Apr</v>
      </c>
      <c r="P834" t="str">
        <f>IF(Table1[[#This Row],[Total_Cost]]&lt;25,"low",IF(Table1[[#This Row],[Total_Cost]]&lt;60,"medium","high"))</f>
        <v>medium</v>
      </c>
      <c r="Q834" t="str">
        <f>IF(Table1[[#This Row],[Discount_Applied]]=TRUE,"discount applied","no discount")</f>
        <v>discount applied</v>
      </c>
    </row>
    <row r="835" spans="1:17" x14ac:dyDescent="0.3">
      <c r="A835">
        <v>1000000833</v>
      </c>
      <c r="B835" s="1">
        <v>44797.444282407407</v>
      </c>
      <c r="C835" t="s">
        <v>1607</v>
      </c>
      <c r="D835" t="s">
        <v>1608</v>
      </c>
      <c r="E835">
        <v>2</v>
      </c>
      <c r="F835">
        <v>37.93</v>
      </c>
      <c r="G835" t="s">
        <v>41</v>
      </c>
      <c r="H835" t="s">
        <v>96</v>
      </c>
      <c r="I835" t="s">
        <v>33</v>
      </c>
      <c r="J835" t="b">
        <v>0</v>
      </c>
      <c r="K835" t="s">
        <v>42</v>
      </c>
      <c r="L835" t="s">
        <v>38</v>
      </c>
      <c r="M835" t="s">
        <v>28</v>
      </c>
      <c r="N835">
        <f>YEAR(Table1[[#This Row],[Date]])</f>
        <v>2022</v>
      </c>
      <c r="O835" t="str">
        <f>TEXT(Table1[[#This Row],[Date]],"mmm")</f>
        <v>Aug</v>
      </c>
      <c r="P835" t="str">
        <f>IF(Table1[[#This Row],[Total_Cost]]&lt;25,"low",IF(Table1[[#This Row],[Total_Cost]]&lt;60,"medium","high"))</f>
        <v>medium</v>
      </c>
      <c r="Q835" t="str">
        <f>IF(Table1[[#This Row],[Discount_Applied]]=TRUE,"discount applied","no discount")</f>
        <v>no discount</v>
      </c>
    </row>
    <row r="836" spans="1:17" x14ac:dyDescent="0.3">
      <c r="A836">
        <v>1000000834</v>
      </c>
      <c r="B836" s="1">
        <v>45002.890520833331</v>
      </c>
      <c r="C836" t="s">
        <v>1609</v>
      </c>
      <c r="D836" t="s">
        <v>1610</v>
      </c>
      <c r="E836">
        <v>2</v>
      </c>
      <c r="F836">
        <v>93.29</v>
      </c>
      <c r="G836" t="s">
        <v>23</v>
      </c>
      <c r="H836" t="s">
        <v>50</v>
      </c>
      <c r="I836" t="s">
        <v>37</v>
      </c>
      <c r="J836" t="b">
        <v>0</v>
      </c>
      <c r="K836" t="s">
        <v>51</v>
      </c>
      <c r="L836" t="s">
        <v>27</v>
      </c>
      <c r="M836" t="s">
        <v>28</v>
      </c>
      <c r="N836">
        <f>YEAR(Table1[[#This Row],[Date]])</f>
        <v>2023</v>
      </c>
      <c r="O836" t="str">
        <f>TEXT(Table1[[#This Row],[Date]],"mmm")</f>
        <v>Mar</v>
      </c>
      <c r="P836" t="str">
        <f>IF(Table1[[#This Row],[Total_Cost]]&lt;25,"low",IF(Table1[[#This Row],[Total_Cost]]&lt;60,"medium","high"))</f>
        <v>high</v>
      </c>
      <c r="Q836" t="str">
        <f>IF(Table1[[#This Row],[Discount_Applied]]=TRUE,"discount applied","no discount")</f>
        <v>no discount</v>
      </c>
    </row>
    <row r="837" spans="1:17" x14ac:dyDescent="0.3">
      <c r="A837">
        <v>1000000835</v>
      </c>
      <c r="B837" s="1">
        <v>44270.464166666665</v>
      </c>
      <c r="C837" t="s">
        <v>1611</v>
      </c>
      <c r="D837" t="s">
        <v>128</v>
      </c>
      <c r="E837">
        <v>10</v>
      </c>
      <c r="F837">
        <v>68.39</v>
      </c>
      <c r="G837" t="s">
        <v>41</v>
      </c>
      <c r="H837" t="s">
        <v>50</v>
      </c>
      <c r="I837" t="s">
        <v>33</v>
      </c>
      <c r="J837" t="b">
        <v>1</v>
      </c>
      <c r="K837" t="s">
        <v>87</v>
      </c>
      <c r="L837" t="s">
        <v>19</v>
      </c>
      <c r="M837" t="s">
        <v>20</v>
      </c>
      <c r="N837">
        <f>YEAR(Table1[[#This Row],[Date]])</f>
        <v>2021</v>
      </c>
      <c r="O837" t="str">
        <f>TEXT(Table1[[#This Row],[Date]],"mmm")</f>
        <v>Mar</v>
      </c>
      <c r="P837" t="str">
        <f>IF(Table1[[#This Row],[Total_Cost]]&lt;25,"low",IF(Table1[[#This Row],[Total_Cost]]&lt;60,"medium","high"))</f>
        <v>high</v>
      </c>
      <c r="Q837" t="str">
        <f>IF(Table1[[#This Row],[Discount_Applied]]=TRUE,"discount applied","no discount")</f>
        <v>discount applied</v>
      </c>
    </row>
    <row r="838" spans="1:17" x14ac:dyDescent="0.3">
      <c r="A838">
        <v>1000000836</v>
      </c>
      <c r="B838" s="1">
        <v>44115.770486111112</v>
      </c>
      <c r="C838" t="s">
        <v>1612</v>
      </c>
      <c r="D838" t="s">
        <v>1613</v>
      </c>
      <c r="E838">
        <v>10</v>
      </c>
      <c r="F838">
        <v>80.94</v>
      </c>
      <c r="G838" t="s">
        <v>23</v>
      </c>
      <c r="H838" t="s">
        <v>77</v>
      </c>
      <c r="I838" t="s">
        <v>37</v>
      </c>
      <c r="J838" t="b">
        <v>1</v>
      </c>
      <c r="K838" t="s">
        <v>51</v>
      </c>
      <c r="L838" t="s">
        <v>27</v>
      </c>
      <c r="M838" t="s">
        <v>28</v>
      </c>
      <c r="N838">
        <f>YEAR(Table1[[#This Row],[Date]])</f>
        <v>2020</v>
      </c>
      <c r="O838" t="str">
        <f>TEXT(Table1[[#This Row],[Date]],"mmm")</f>
        <v>Oct</v>
      </c>
      <c r="P838" t="str">
        <f>IF(Table1[[#This Row],[Total_Cost]]&lt;25,"low",IF(Table1[[#This Row],[Total_Cost]]&lt;60,"medium","high"))</f>
        <v>high</v>
      </c>
      <c r="Q838" t="str">
        <f>IF(Table1[[#This Row],[Discount_Applied]]=TRUE,"discount applied","no discount")</f>
        <v>discount applied</v>
      </c>
    </row>
    <row r="839" spans="1:17" x14ac:dyDescent="0.3">
      <c r="A839">
        <v>1000000837</v>
      </c>
      <c r="B839" s="1">
        <v>45292.806689814817</v>
      </c>
      <c r="C839" t="s">
        <v>1614</v>
      </c>
      <c r="D839" t="s">
        <v>1615</v>
      </c>
      <c r="E839">
        <v>6</v>
      </c>
      <c r="F839">
        <v>88.68</v>
      </c>
      <c r="G839" t="s">
        <v>41</v>
      </c>
      <c r="H839" t="s">
        <v>24</v>
      </c>
      <c r="I839" t="s">
        <v>17</v>
      </c>
      <c r="J839" t="b">
        <v>1</v>
      </c>
      <c r="K839" t="s">
        <v>62</v>
      </c>
      <c r="L839" t="s">
        <v>19</v>
      </c>
      <c r="M839" t="s">
        <v>20</v>
      </c>
      <c r="N839">
        <f>YEAR(Table1[[#This Row],[Date]])</f>
        <v>2024</v>
      </c>
      <c r="O839" t="str">
        <f>TEXT(Table1[[#This Row],[Date]],"mmm")</f>
        <v>Jan</v>
      </c>
      <c r="P839" t="str">
        <f>IF(Table1[[#This Row],[Total_Cost]]&lt;25,"low",IF(Table1[[#This Row],[Total_Cost]]&lt;60,"medium","high"))</f>
        <v>high</v>
      </c>
      <c r="Q839" t="str">
        <f>IF(Table1[[#This Row],[Discount_Applied]]=TRUE,"discount applied","no discount")</f>
        <v>discount applied</v>
      </c>
    </row>
    <row r="840" spans="1:17" x14ac:dyDescent="0.3">
      <c r="A840">
        <v>1000000838</v>
      </c>
      <c r="B840" s="1">
        <v>44696.323576388888</v>
      </c>
      <c r="C840" t="s">
        <v>1616</v>
      </c>
      <c r="D840" t="s">
        <v>1617</v>
      </c>
      <c r="E840">
        <v>6</v>
      </c>
      <c r="F840">
        <v>35.89</v>
      </c>
      <c r="G840" t="s">
        <v>23</v>
      </c>
      <c r="H840" t="s">
        <v>96</v>
      </c>
      <c r="I840" t="s">
        <v>17</v>
      </c>
      <c r="J840" t="b">
        <v>1</v>
      </c>
      <c r="K840" t="s">
        <v>18</v>
      </c>
      <c r="L840" t="s">
        <v>38</v>
      </c>
      <c r="M840" t="s">
        <v>28</v>
      </c>
      <c r="N840">
        <f>YEAR(Table1[[#This Row],[Date]])</f>
        <v>2022</v>
      </c>
      <c r="O840" t="str">
        <f>TEXT(Table1[[#This Row],[Date]],"mmm")</f>
        <v>May</v>
      </c>
      <c r="P840" t="str">
        <f>IF(Table1[[#This Row],[Total_Cost]]&lt;25,"low",IF(Table1[[#This Row],[Total_Cost]]&lt;60,"medium","high"))</f>
        <v>medium</v>
      </c>
      <c r="Q840" t="str">
        <f>IF(Table1[[#This Row],[Discount_Applied]]=TRUE,"discount applied","no discount")</f>
        <v>discount applied</v>
      </c>
    </row>
    <row r="841" spans="1:17" x14ac:dyDescent="0.3">
      <c r="A841">
        <v>1000000839</v>
      </c>
      <c r="B841" s="1">
        <v>43857.649537037039</v>
      </c>
      <c r="C841" t="s">
        <v>1618</v>
      </c>
      <c r="D841" t="s">
        <v>1619</v>
      </c>
      <c r="E841">
        <v>5</v>
      </c>
      <c r="F841">
        <v>20.11</v>
      </c>
      <c r="G841" t="s">
        <v>41</v>
      </c>
      <c r="H841" t="s">
        <v>70</v>
      </c>
      <c r="I841" t="s">
        <v>46</v>
      </c>
      <c r="J841" t="b">
        <v>1</v>
      </c>
      <c r="K841" t="s">
        <v>87</v>
      </c>
      <c r="L841" t="s">
        <v>52</v>
      </c>
      <c r="M841" t="s">
        <v>43</v>
      </c>
      <c r="N841">
        <f>YEAR(Table1[[#This Row],[Date]])</f>
        <v>2020</v>
      </c>
      <c r="O841" t="str">
        <f>TEXT(Table1[[#This Row],[Date]],"mmm")</f>
        <v>Jan</v>
      </c>
      <c r="P841" t="str">
        <f>IF(Table1[[#This Row],[Total_Cost]]&lt;25,"low",IF(Table1[[#This Row],[Total_Cost]]&lt;60,"medium","high"))</f>
        <v>low</v>
      </c>
      <c r="Q841" t="str">
        <f>IF(Table1[[#This Row],[Discount_Applied]]=TRUE,"discount applied","no discount")</f>
        <v>discount applied</v>
      </c>
    </row>
    <row r="842" spans="1:17" x14ac:dyDescent="0.3">
      <c r="A842">
        <v>1000000840</v>
      </c>
      <c r="B842" s="1">
        <v>44027.40625</v>
      </c>
      <c r="C842" t="s">
        <v>1620</v>
      </c>
      <c r="D842" t="s">
        <v>1621</v>
      </c>
      <c r="E842">
        <v>10</v>
      </c>
      <c r="F842">
        <v>64.33</v>
      </c>
      <c r="G842" t="s">
        <v>23</v>
      </c>
      <c r="H842" t="s">
        <v>16</v>
      </c>
      <c r="I842" t="s">
        <v>37</v>
      </c>
      <c r="J842" t="b">
        <v>0</v>
      </c>
      <c r="K842" t="s">
        <v>87</v>
      </c>
      <c r="L842" t="s">
        <v>19</v>
      </c>
      <c r="M842" t="s">
        <v>28</v>
      </c>
      <c r="N842">
        <f>YEAR(Table1[[#This Row],[Date]])</f>
        <v>2020</v>
      </c>
      <c r="O842" t="str">
        <f>TEXT(Table1[[#This Row],[Date]],"mmm")</f>
        <v>Jul</v>
      </c>
      <c r="P842" t="str">
        <f>IF(Table1[[#This Row],[Total_Cost]]&lt;25,"low",IF(Table1[[#This Row],[Total_Cost]]&lt;60,"medium","high"))</f>
        <v>high</v>
      </c>
      <c r="Q842" t="str">
        <f>IF(Table1[[#This Row],[Discount_Applied]]=TRUE,"discount applied","no discount")</f>
        <v>no discount</v>
      </c>
    </row>
    <row r="843" spans="1:17" x14ac:dyDescent="0.3">
      <c r="A843">
        <v>1000000841</v>
      </c>
      <c r="B843" s="1">
        <v>44724.097662037035</v>
      </c>
      <c r="C843" t="s">
        <v>1622</v>
      </c>
      <c r="D843" t="s">
        <v>1623</v>
      </c>
      <c r="E843">
        <v>8</v>
      </c>
      <c r="F843">
        <v>41.11</v>
      </c>
      <c r="G843" t="s">
        <v>31</v>
      </c>
      <c r="H843" t="s">
        <v>32</v>
      </c>
      <c r="I843" t="s">
        <v>17</v>
      </c>
      <c r="J843" t="b">
        <v>0</v>
      </c>
      <c r="K843" t="s">
        <v>80</v>
      </c>
      <c r="L843" t="s">
        <v>38</v>
      </c>
      <c r="M843" t="s">
        <v>28</v>
      </c>
      <c r="N843">
        <f>YEAR(Table1[[#This Row],[Date]])</f>
        <v>2022</v>
      </c>
      <c r="O843" t="str">
        <f>TEXT(Table1[[#This Row],[Date]],"mmm")</f>
        <v>Jun</v>
      </c>
      <c r="P843" t="str">
        <f>IF(Table1[[#This Row],[Total_Cost]]&lt;25,"low",IF(Table1[[#This Row],[Total_Cost]]&lt;60,"medium","high"))</f>
        <v>medium</v>
      </c>
      <c r="Q843" t="str">
        <f>IF(Table1[[#This Row],[Discount_Applied]]=TRUE,"discount applied","no discount")</f>
        <v>no discount</v>
      </c>
    </row>
    <row r="844" spans="1:17" x14ac:dyDescent="0.3">
      <c r="A844">
        <v>1000000842</v>
      </c>
      <c r="B844" s="1">
        <v>44076.268969907411</v>
      </c>
      <c r="C844" t="s">
        <v>1624</v>
      </c>
      <c r="D844" t="s">
        <v>1625</v>
      </c>
      <c r="E844">
        <v>5</v>
      </c>
      <c r="F844">
        <v>19.39</v>
      </c>
      <c r="G844" t="s">
        <v>41</v>
      </c>
      <c r="H844" t="s">
        <v>96</v>
      </c>
      <c r="I844" t="s">
        <v>46</v>
      </c>
      <c r="J844" t="b">
        <v>0</v>
      </c>
      <c r="K844" t="s">
        <v>26</v>
      </c>
      <c r="L844" t="s">
        <v>52</v>
      </c>
      <c r="M844" t="s">
        <v>20</v>
      </c>
      <c r="N844">
        <f>YEAR(Table1[[#This Row],[Date]])</f>
        <v>2020</v>
      </c>
      <c r="O844" t="str">
        <f>TEXT(Table1[[#This Row],[Date]],"mmm")</f>
        <v>Sep</v>
      </c>
      <c r="P844" t="str">
        <f>IF(Table1[[#This Row],[Total_Cost]]&lt;25,"low",IF(Table1[[#This Row],[Total_Cost]]&lt;60,"medium","high"))</f>
        <v>low</v>
      </c>
      <c r="Q844" t="str">
        <f>IF(Table1[[#This Row],[Discount_Applied]]=TRUE,"discount applied","no discount")</f>
        <v>no discount</v>
      </c>
    </row>
    <row r="845" spans="1:17" x14ac:dyDescent="0.3">
      <c r="A845">
        <v>1000000843</v>
      </c>
      <c r="B845" s="1">
        <v>44097.645613425928</v>
      </c>
      <c r="C845" t="s">
        <v>1626</v>
      </c>
      <c r="D845" t="s">
        <v>1627</v>
      </c>
      <c r="E845">
        <v>2</v>
      </c>
      <c r="F845">
        <v>58.04</v>
      </c>
      <c r="G845" t="s">
        <v>31</v>
      </c>
      <c r="H845" t="s">
        <v>70</v>
      </c>
      <c r="I845" t="s">
        <v>46</v>
      </c>
      <c r="J845" t="b">
        <v>1</v>
      </c>
      <c r="K845" t="s">
        <v>62</v>
      </c>
      <c r="L845" t="s">
        <v>19</v>
      </c>
      <c r="M845" t="s">
        <v>43</v>
      </c>
      <c r="N845">
        <f>YEAR(Table1[[#This Row],[Date]])</f>
        <v>2020</v>
      </c>
      <c r="O845" t="str">
        <f>TEXT(Table1[[#This Row],[Date]],"mmm")</f>
        <v>Sep</v>
      </c>
      <c r="P845" t="str">
        <f>IF(Table1[[#This Row],[Total_Cost]]&lt;25,"low",IF(Table1[[#This Row],[Total_Cost]]&lt;60,"medium","high"))</f>
        <v>medium</v>
      </c>
      <c r="Q845" t="str">
        <f>IF(Table1[[#This Row],[Discount_Applied]]=TRUE,"discount applied","no discount")</f>
        <v>discount applied</v>
      </c>
    </row>
    <row r="846" spans="1:17" x14ac:dyDescent="0.3">
      <c r="A846">
        <v>1000000844</v>
      </c>
      <c r="B846" s="1">
        <v>44035.874652777777</v>
      </c>
      <c r="C846" t="s">
        <v>1628</v>
      </c>
      <c r="D846" t="s">
        <v>1629</v>
      </c>
      <c r="E846">
        <v>8</v>
      </c>
      <c r="F846">
        <v>55.42</v>
      </c>
      <c r="G846" t="s">
        <v>15</v>
      </c>
      <c r="H846" t="s">
        <v>65</v>
      </c>
      <c r="I846" t="s">
        <v>46</v>
      </c>
      <c r="J846" t="b">
        <v>1</v>
      </c>
      <c r="K846" t="s">
        <v>51</v>
      </c>
      <c r="L846" t="s">
        <v>27</v>
      </c>
      <c r="M846" t="s">
        <v>43</v>
      </c>
      <c r="N846">
        <f>YEAR(Table1[[#This Row],[Date]])</f>
        <v>2020</v>
      </c>
      <c r="O846" t="str">
        <f>TEXT(Table1[[#This Row],[Date]],"mmm")</f>
        <v>Jul</v>
      </c>
      <c r="P846" t="str">
        <f>IF(Table1[[#This Row],[Total_Cost]]&lt;25,"low",IF(Table1[[#This Row],[Total_Cost]]&lt;60,"medium","high"))</f>
        <v>medium</v>
      </c>
      <c r="Q846" t="str">
        <f>IF(Table1[[#This Row],[Discount_Applied]]=TRUE,"discount applied","no discount")</f>
        <v>discount applied</v>
      </c>
    </row>
    <row r="847" spans="1:17" x14ac:dyDescent="0.3">
      <c r="A847">
        <v>1000000845</v>
      </c>
      <c r="B847" s="1">
        <v>44401.561597222222</v>
      </c>
      <c r="C847" t="s">
        <v>1630</v>
      </c>
      <c r="D847" t="s">
        <v>1631</v>
      </c>
      <c r="E847">
        <v>1</v>
      </c>
      <c r="F847">
        <v>84.97</v>
      </c>
      <c r="G847" t="s">
        <v>31</v>
      </c>
      <c r="H847" t="s">
        <v>65</v>
      </c>
      <c r="I847" t="s">
        <v>37</v>
      </c>
      <c r="J847" t="b">
        <v>0</v>
      </c>
      <c r="K847" t="s">
        <v>62</v>
      </c>
      <c r="L847" t="s">
        <v>52</v>
      </c>
      <c r="M847" t="s">
        <v>28</v>
      </c>
      <c r="N847">
        <f>YEAR(Table1[[#This Row],[Date]])</f>
        <v>2021</v>
      </c>
      <c r="O847" t="str">
        <f>TEXT(Table1[[#This Row],[Date]],"mmm")</f>
        <v>Jul</v>
      </c>
      <c r="P847" t="str">
        <f>IF(Table1[[#This Row],[Total_Cost]]&lt;25,"low",IF(Table1[[#This Row],[Total_Cost]]&lt;60,"medium","high"))</f>
        <v>high</v>
      </c>
      <c r="Q847" t="str">
        <f>IF(Table1[[#This Row],[Discount_Applied]]=TRUE,"discount applied","no discount")</f>
        <v>no discount</v>
      </c>
    </row>
    <row r="848" spans="1:17" x14ac:dyDescent="0.3">
      <c r="A848">
        <v>1000000846</v>
      </c>
      <c r="B848" s="1">
        <v>45300.090243055558</v>
      </c>
      <c r="C848" t="s">
        <v>1632</v>
      </c>
      <c r="D848" t="s">
        <v>1633</v>
      </c>
      <c r="E848">
        <v>7</v>
      </c>
      <c r="F848">
        <v>5.96</v>
      </c>
      <c r="G848" t="s">
        <v>31</v>
      </c>
      <c r="H848" t="s">
        <v>36</v>
      </c>
      <c r="I848" t="s">
        <v>33</v>
      </c>
      <c r="J848" t="b">
        <v>1</v>
      </c>
      <c r="K848" t="s">
        <v>80</v>
      </c>
      <c r="L848" t="s">
        <v>27</v>
      </c>
      <c r="M848" t="s">
        <v>20</v>
      </c>
      <c r="N848">
        <f>YEAR(Table1[[#This Row],[Date]])</f>
        <v>2024</v>
      </c>
      <c r="O848" t="str">
        <f>TEXT(Table1[[#This Row],[Date]],"mmm")</f>
        <v>Jan</v>
      </c>
      <c r="P848" t="str">
        <f>IF(Table1[[#This Row],[Total_Cost]]&lt;25,"low",IF(Table1[[#This Row],[Total_Cost]]&lt;60,"medium","high"))</f>
        <v>low</v>
      </c>
      <c r="Q848" t="str">
        <f>IF(Table1[[#This Row],[Discount_Applied]]=TRUE,"discount applied","no discount")</f>
        <v>discount applied</v>
      </c>
    </row>
    <row r="849" spans="1:17" x14ac:dyDescent="0.3">
      <c r="A849">
        <v>1000000847</v>
      </c>
      <c r="B849" s="1">
        <v>44764.765520833331</v>
      </c>
      <c r="C849" t="s">
        <v>1634</v>
      </c>
      <c r="D849" t="s">
        <v>1635</v>
      </c>
      <c r="E849">
        <v>2</v>
      </c>
      <c r="F849">
        <v>54.54</v>
      </c>
      <c r="G849" t="s">
        <v>23</v>
      </c>
      <c r="H849" t="s">
        <v>32</v>
      </c>
      <c r="I849" t="s">
        <v>25</v>
      </c>
      <c r="J849" t="b">
        <v>0</v>
      </c>
      <c r="K849" t="s">
        <v>18</v>
      </c>
      <c r="L849" t="s">
        <v>52</v>
      </c>
      <c r="M849" t="s">
        <v>28</v>
      </c>
      <c r="N849">
        <f>YEAR(Table1[[#This Row],[Date]])</f>
        <v>2022</v>
      </c>
      <c r="O849" t="str">
        <f>TEXT(Table1[[#This Row],[Date]],"mmm")</f>
        <v>Jul</v>
      </c>
      <c r="P849" t="str">
        <f>IF(Table1[[#This Row],[Total_Cost]]&lt;25,"low",IF(Table1[[#This Row],[Total_Cost]]&lt;60,"medium","high"))</f>
        <v>medium</v>
      </c>
      <c r="Q849" t="str">
        <f>IF(Table1[[#This Row],[Discount_Applied]]=TRUE,"discount applied","no discount")</f>
        <v>no discount</v>
      </c>
    </row>
    <row r="850" spans="1:17" x14ac:dyDescent="0.3">
      <c r="A850">
        <v>1000000848</v>
      </c>
      <c r="B850" s="1">
        <v>44570.623472222222</v>
      </c>
      <c r="C850" t="s">
        <v>1636</v>
      </c>
      <c r="D850" t="s">
        <v>1637</v>
      </c>
      <c r="E850">
        <v>9</v>
      </c>
      <c r="F850">
        <v>52.7</v>
      </c>
      <c r="G850" t="s">
        <v>41</v>
      </c>
      <c r="H850" t="s">
        <v>32</v>
      </c>
      <c r="I850" t="s">
        <v>33</v>
      </c>
      <c r="J850" t="b">
        <v>0</v>
      </c>
      <c r="K850" t="s">
        <v>47</v>
      </c>
      <c r="L850" t="s">
        <v>19</v>
      </c>
      <c r="M850" t="s">
        <v>20</v>
      </c>
      <c r="N850">
        <f>YEAR(Table1[[#This Row],[Date]])</f>
        <v>2022</v>
      </c>
      <c r="O850" t="str">
        <f>TEXT(Table1[[#This Row],[Date]],"mmm")</f>
        <v>Jan</v>
      </c>
      <c r="P850" t="str">
        <f>IF(Table1[[#This Row],[Total_Cost]]&lt;25,"low",IF(Table1[[#This Row],[Total_Cost]]&lt;60,"medium","high"))</f>
        <v>medium</v>
      </c>
      <c r="Q850" t="str">
        <f>IF(Table1[[#This Row],[Discount_Applied]]=TRUE,"discount applied","no discount")</f>
        <v>no discount</v>
      </c>
    </row>
    <row r="851" spans="1:17" x14ac:dyDescent="0.3">
      <c r="A851">
        <v>1000000849</v>
      </c>
      <c r="B851" s="1">
        <v>44750.771956018521</v>
      </c>
      <c r="C851" t="s">
        <v>1638</v>
      </c>
      <c r="D851" t="s">
        <v>1639</v>
      </c>
      <c r="E851">
        <v>4</v>
      </c>
      <c r="F851">
        <v>59.46</v>
      </c>
      <c r="G851" t="s">
        <v>23</v>
      </c>
      <c r="H851" t="s">
        <v>70</v>
      </c>
      <c r="I851" t="s">
        <v>17</v>
      </c>
      <c r="J851" t="b">
        <v>1</v>
      </c>
      <c r="K851" t="s">
        <v>18</v>
      </c>
      <c r="L851" t="s">
        <v>19</v>
      </c>
      <c r="M851" t="s">
        <v>43</v>
      </c>
      <c r="N851">
        <f>YEAR(Table1[[#This Row],[Date]])</f>
        <v>2022</v>
      </c>
      <c r="O851" t="str">
        <f>TEXT(Table1[[#This Row],[Date]],"mmm")</f>
        <v>Jul</v>
      </c>
      <c r="P851" t="str">
        <f>IF(Table1[[#This Row],[Total_Cost]]&lt;25,"low",IF(Table1[[#This Row],[Total_Cost]]&lt;60,"medium","high"))</f>
        <v>medium</v>
      </c>
      <c r="Q851" t="str">
        <f>IF(Table1[[#This Row],[Discount_Applied]]=TRUE,"discount applied","no discount")</f>
        <v>discount applied</v>
      </c>
    </row>
    <row r="852" spans="1:17" x14ac:dyDescent="0.3">
      <c r="A852">
        <v>1000000850</v>
      </c>
      <c r="B852" s="1">
        <v>43941.040555555555</v>
      </c>
      <c r="C852" t="s">
        <v>1640</v>
      </c>
      <c r="D852" t="s">
        <v>1641</v>
      </c>
      <c r="E852">
        <v>4</v>
      </c>
      <c r="F852">
        <v>9.6</v>
      </c>
      <c r="G852" t="s">
        <v>23</v>
      </c>
      <c r="H852" t="s">
        <v>36</v>
      </c>
      <c r="I852" t="s">
        <v>17</v>
      </c>
      <c r="J852" t="b">
        <v>0</v>
      </c>
      <c r="K852" t="s">
        <v>87</v>
      </c>
      <c r="L852" t="s">
        <v>19</v>
      </c>
      <c r="M852" t="s">
        <v>28</v>
      </c>
      <c r="N852">
        <f>YEAR(Table1[[#This Row],[Date]])</f>
        <v>2020</v>
      </c>
      <c r="O852" t="str">
        <f>TEXT(Table1[[#This Row],[Date]],"mmm")</f>
        <v>Apr</v>
      </c>
      <c r="P852" t="str">
        <f>IF(Table1[[#This Row],[Total_Cost]]&lt;25,"low",IF(Table1[[#This Row],[Total_Cost]]&lt;60,"medium","high"))</f>
        <v>low</v>
      </c>
      <c r="Q852" t="str">
        <f>IF(Table1[[#This Row],[Discount_Applied]]=TRUE,"discount applied","no discount")</f>
        <v>no discount</v>
      </c>
    </row>
    <row r="853" spans="1:17" x14ac:dyDescent="0.3">
      <c r="A853">
        <v>1000000851</v>
      </c>
      <c r="B853" s="1">
        <v>44245.402997685182</v>
      </c>
      <c r="C853" t="s">
        <v>1642</v>
      </c>
      <c r="D853" t="s">
        <v>1030</v>
      </c>
      <c r="E853">
        <v>3</v>
      </c>
      <c r="F853">
        <v>20.81</v>
      </c>
      <c r="G853" t="s">
        <v>41</v>
      </c>
      <c r="H853" t="s">
        <v>77</v>
      </c>
      <c r="I853" t="s">
        <v>37</v>
      </c>
      <c r="J853" t="b">
        <v>1</v>
      </c>
      <c r="K853" t="s">
        <v>18</v>
      </c>
      <c r="L853" t="s">
        <v>52</v>
      </c>
      <c r="M853" t="s">
        <v>43</v>
      </c>
      <c r="N853">
        <f>YEAR(Table1[[#This Row],[Date]])</f>
        <v>2021</v>
      </c>
      <c r="O853" t="str">
        <f>TEXT(Table1[[#This Row],[Date]],"mmm")</f>
        <v>Feb</v>
      </c>
      <c r="P853" t="str">
        <f>IF(Table1[[#This Row],[Total_Cost]]&lt;25,"low",IF(Table1[[#This Row],[Total_Cost]]&lt;60,"medium","high"))</f>
        <v>low</v>
      </c>
      <c r="Q853" t="str">
        <f>IF(Table1[[#This Row],[Discount_Applied]]=TRUE,"discount applied","no discount")</f>
        <v>discount applied</v>
      </c>
    </row>
    <row r="854" spans="1:17" x14ac:dyDescent="0.3">
      <c r="A854">
        <v>1000000852</v>
      </c>
      <c r="B854" s="1">
        <v>44912.784143518518</v>
      </c>
      <c r="C854" t="s">
        <v>1643</v>
      </c>
      <c r="D854" t="s">
        <v>1363</v>
      </c>
      <c r="E854">
        <v>5</v>
      </c>
      <c r="F854">
        <v>71.44</v>
      </c>
      <c r="G854" t="s">
        <v>41</v>
      </c>
      <c r="H854" t="s">
        <v>32</v>
      </c>
      <c r="I854" t="s">
        <v>17</v>
      </c>
      <c r="J854" t="b">
        <v>1</v>
      </c>
      <c r="K854" t="s">
        <v>51</v>
      </c>
      <c r="L854" t="s">
        <v>38</v>
      </c>
      <c r="M854" t="s">
        <v>20</v>
      </c>
      <c r="N854">
        <f>YEAR(Table1[[#This Row],[Date]])</f>
        <v>2022</v>
      </c>
      <c r="O854" t="str">
        <f>TEXT(Table1[[#This Row],[Date]],"mmm")</f>
        <v>Dec</v>
      </c>
      <c r="P854" t="str">
        <f>IF(Table1[[#This Row],[Total_Cost]]&lt;25,"low",IF(Table1[[#This Row],[Total_Cost]]&lt;60,"medium","high"))</f>
        <v>high</v>
      </c>
      <c r="Q854" t="str">
        <f>IF(Table1[[#This Row],[Discount_Applied]]=TRUE,"discount applied","no discount")</f>
        <v>discount applied</v>
      </c>
    </row>
    <row r="855" spans="1:17" x14ac:dyDescent="0.3">
      <c r="A855">
        <v>1000000853</v>
      </c>
      <c r="B855" s="1">
        <v>44611.298032407409</v>
      </c>
      <c r="C855" t="s">
        <v>1644</v>
      </c>
      <c r="D855" t="s">
        <v>1645</v>
      </c>
      <c r="E855">
        <v>5</v>
      </c>
      <c r="F855">
        <v>13.92</v>
      </c>
      <c r="G855" t="s">
        <v>15</v>
      </c>
      <c r="H855" t="s">
        <v>129</v>
      </c>
      <c r="I855" t="s">
        <v>46</v>
      </c>
      <c r="J855" t="b">
        <v>1</v>
      </c>
      <c r="K855" t="s">
        <v>18</v>
      </c>
      <c r="L855" t="s">
        <v>38</v>
      </c>
      <c r="M855" t="s">
        <v>28</v>
      </c>
      <c r="N855">
        <f>YEAR(Table1[[#This Row],[Date]])</f>
        <v>2022</v>
      </c>
      <c r="O855" t="str">
        <f>TEXT(Table1[[#This Row],[Date]],"mmm")</f>
        <v>Feb</v>
      </c>
      <c r="P855" t="str">
        <f>IF(Table1[[#This Row],[Total_Cost]]&lt;25,"low",IF(Table1[[#This Row],[Total_Cost]]&lt;60,"medium","high"))</f>
        <v>low</v>
      </c>
      <c r="Q855" t="str">
        <f>IF(Table1[[#This Row],[Discount_Applied]]=TRUE,"discount applied","no discount")</f>
        <v>discount applied</v>
      </c>
    </row>
    <row r="856" spans="1:17" x14ac:dyDescent="0.3">
      <c r="A856">
        <v>1000000854</v>
      </c>
      <c r="B856" s="1">
        <v>44951.852662037039</v>
      </c>
      <c r="C856" t="s">
        <v>1646</v>
      </c>
      <c r="D856" t="s">
        <v>1647</v>
      </c>
      <c r="E856">
        <v>4</v>
      </c>
      <c r="F856">
        <v>68.95</v>
      </c>
      <c r="G856" t="s">
        <v>31</v>
      </c>
      <c r="H856" t="s">
        <v>32</v>
      </c>
      <c r="I856" t="s">
        <v>17</v>
      </c>
      <c r="J856" t="b">
        <v>1</v>
      </c>
      <c r="K856" t="s">
        <v>80</v>
      </c>
      <c r="L856" t="s">
        <v>38</v>
      </c>
      <c r="M856" t="s">
        <v>28</v>
      </c>
      <c r="N856">
        <f>YEAR(Table1[[#This Row],[Date]])</f>
        <v>2023</v>
      </c>
      <c r="O856" t="str">
        <f>TEXT(Table1[[#This Row],[Date]],"mmm")</f>
        <v>Jan</v>
      </c>
      <c r="P856" t="str">
        <f>IF(Table1[[#This Row],[Total_Cost]]&lt;25,"low",IF(Table1[[#This Row],[Total_Cost]]&lt;60,"medium","high"))</f>
        <v>high</v>
      </c>
      <c r="Q856" t="str">
        <f>IF(Table1[[#This Row],[Discount_Applied]]=TRUE,"discount applied","no discount")</f>
        <v>discount applied</v>
      </c>
    </row>
    <row r="857" spans="1:17" x14ac:dyDescent="0.3">
      <c r="A857">
        <v>1000000855</v>
      </c>
      <c r="B857" s="1">
        <v>44117.258819444447</v>
      </c>
      <c r="C857" t="s">
        <v>1648</v>
      </c>
      <c r="D857" t="s">
        <v>379</v>
      </c>
      <c r="E857">
        <v>1</v>
      </c>
      <c r="F857">
        <v>78.790000000000006</v>
      </c>
      <c r="G857" t="s">
        <v>41</v>
      </c>
      <c r="H857" t="s">
        <v>24</v>
      </c>
      <c r="I857" t="s">
        <v>17</v>
      </c>
      <c r="J857" t="b">
        <v>1</v>
      </c>
      <c r="K857" t="s">
        <v>42</v>
      </c>
      <c r="L857" t="s">
        <v>27</v>
      </c>
      <c r="M857" t="s">
        <v>28</v>
      </c>
      <c r="N857">
        <f>YEAR(Table1[[#This Row],[Date]])</f>
        <v>2020</v>
      </c>
      <c r="O857" t="str">
        <f>TEXT(Table1[[#This Row],[Date]],"mmm")</f>
        <v>Oct</v>
      </c>
      <c r="P857" t="str">
        <f>IF(Table1[[#This Row],[Total_Cost]]&lt;25,"low",IF(Table1[[#This Row],[Total_Cost]]&lt;60,"medium","high"))</f>
        <v>high</v>
      </c>
      <c r="Q857" t="str">
        <f>IF(Table1[[#This Row],[Discount_Applied]]=TRUE,"discount applied","no discount")</f>
        <v>discount applied</v>
      </c>
    </row>
    <row r="858" spans="1:17" x14ac:dyDescent="0.3">
      <c r="A858">
        <v>1000000856</v>
      </c>
      <c r="B858" s="1">
        <v>44470.287835648145</v>
      </c>
      <c r="C858" t="s">
        <v>1649</v>
      </c>
      <c r="D858" t="s">
        <v>546</v>
      </c>
      <c r="E858">
        <v>4</v>
      </c>
      <c r="F858">
        <v>35.19</v>
      </c>
      <c r="G858" t="s">
        <v>41</v>
      </c>
      <c r="H858" t="s">
        <v>77</v>
      </c>
      <c r="I858" t="s">
        <v>17</v>
      </c>
      <c r="J858" t="b">
        <v>1</v>
      </c>
      <c r="K858" t="s">
        <v>62</v>
      </c>
      <c r="L858" t="s">
        <v>52</v>
      </c>
      <c r="M858" t="s">
        <v>20</v>
      </c>
      <c r="N858">
        <f>YEAR(Table1[[#This Row],[Date]])</f>
        <v>2021</v>
      </c>
      <c r="O858" t="str">
        <f>TEXT(Table1[[#This Row],[Date]],"mmm")</f>
        <v>Oct</v>
      </c>
      <c r="P858" t="str">
        <f>IF(Table1[[#This Row],[Total_Cost]]&lt;25,"low",IF(Table1[[#This Row],[Total_Cost]]&lt;60,"medium","high"))</f>
        <v>medium</v>
      </c>
      <c r="Q858" t="str">
        <f>IF(Table1[[#This Row],[Discount_Applied]]=TRUE,"discount applied","no discount")</f>
        <v>discount applied</v>
      </c>
    </row>
    <row r="859" spans="1:17" x14ac:dyDescent="0.3">
      <c r="A859">
        <v>1000000857</v>
      </c>
      <c r="B859" s="1">
        <v>44392.151805555557</v>
      </c>
      <c r="C859" t="s">
        <v>1650</v>
      </c>
      <c r="D859" t="s">
        <v>1651</v>
      </c>
      <c r="E859">
        <v>10</v>
      </c>
      <c r="F859">
        <v>70.849999999999994</v>
      </c>
      <c r="G859" t="s">
        <v>15</v>
      </c>
      <c r="H859" t="s">
        <v>96</v>
      </c>
      <c r="I859" t="s">
        <v>46</v>
      </c>
      <c r="J859" t="b">
        <v>0</v>
      </c>
      <c r="K859" t="s">
        <v>80</v>
      </c>
      <c r="L859" t="s">
        <v>27</v>
      </c>
      <c r="M859" t="s">
        <v>20</v>
      </c>
      <c r="N859">
        <f>YEAR(Table1[[#This Row],[Date]])</f>
        <v>2021</v>
      </c>
      <c r="O859" t="str">
        <f>TEXT(Table1[[#This Row],[Date]],"mmm")</f>
        <v>Jul</v>
      </c>
      <c r="P859" t="str">
        <f>IF(Table1[[#This Row],[Total_Cost]]&lt;25,"low",IF(Table1[[#This Row],[Total_Cost]]&lt;60,"medium","high"))</f>
        <v>high</v>
      </c>
      <c r="Q859" t="str">
        <f>IF(Table1[[#This Row],[Discount_Applied]]=TRUE,"discount applied","no discount")</f>
        <v>no discount</v>
      </c>
    </row>
    <row r="860" spans="1:17" x14ac:dyDescent="0.3">
      <c r="A860">
        <v>1000000858</v>
      </c>
      <c r="B860" s="1">
        <v>44510.293576388889</v>
      </c>
      <c r="C860" t="s">
        <v>1652</v>
      </c>
      <c r="D860" t="s">
        <v>1653</v>
      </c>
      <c r="E860">
        <v>3</v>
      </c>
      <c r="F860">
        <v>50.04</v>
      </c>
      <c r="G860" t="s">
        <v>31</v>
      </c>
      <c r="H860" t="s">
        <v>65</v>
      </c>
      <c r="I860" t="s">
        <v>25</v>
      </c>
      <c r="J860" t="b">
        <v>0</v>
      </c>
      <c r="K860" t="s">
        <v>80</v>
      </c>
      <c r="L860" t="s">
        <v>27</v>
      </c>
      <c r="M860" t="s">
        <v>28</v>
      </c>
      <c r="N860">
        <f>YEAR(Table1[[#This Row],[Date]])</f>
        <v>2021</v>
      </c>
      <c r="O860" t="str">
        <f>TEXT(Table1[[#This Row],[Date]],"mmm")</f>
        <v>Nov</v>
      </c>
      <c r="P860" t="str">
        <f>IF(Table1[[#This Row],[Total_Cost]]&lt;25,"low",IF(Table1[[#This Row],[Total_Cost]]&lt;60,"medium","high"))</f>
        <v>medium</v>
      </c>
      <c r="Q860" t="str">
        <f>IF(Table1[[#This Row],[Discount_Applied]]=TRUE,"discount applied","no discount")</f>
        <v>no discount</v>
      </c>
    </row>
    <row r="861" spans="1:17" x14ac:dyDescent="0.3">
      <c r="A861">
        <v>1000000859</v>
      </c>
      <c r="B861" s="1">
        <v>44825.336388888885</v>
      </c>
      <c r="C861" t="s">
        <v>1654</v>
      </c>
      <c r="D861" t="s">
        <v>1389</v>
      </c>
      <c r="E861">
        <v>1</v>
      </c>
      <c r="F861">
        <v>55.98</v>
      </c>
      <c r="G861" t="s">
        <v>15</v>
      </c>
      <c r="H861" t="s">
        <v>77</v>
      </c>
      <c r="I861" t="s">
        <v>37</v>
      </c>
      <c r="J861" t="b">
        <v>1</v>
      </c>
      <c r="K861" t="s">
        <v>51</v>
      </c>
      <c r="L861" t="s">
        <v>19</v>
      </c>
      <c r="M861" t="s">
        <v>43</v>
      </c>
      <c r="N861">
        <f>YEAR(Table1[[#This Row],[Date]])</f>
        <v>2022</v>
      </c>
      <c r="O861" t="str">
        <f>TEXT(Table1[[#This Row],[Date]],"mmm")</f>
        <v>Sep</v>
      </c>
      <c r="P861" t="str">
        <f>IF(Table1[[#This Row],[Total_Cost]]&lt;25,"low",IF(Table1[[#This Row],[Total_Cost]]&lt;60,"medium","high"))</f>
        <v>medium</v>
      </c>
      <c r="Q861" t="str">
        <f>IF(Table1[[#This Row],[Discount_Applied]]=TRUE,"discount applied","no discount")</f>
        <v>discount applied</v>
      </c>
    </row>
    <row r="862" spans="1:17" x14ac:dyDescent="0.3">
      <c r="A862">
        <v>1000000860</v>
      </c>
      <c r="B862" s="1">
        <v>44149.44090277778</v>
      </c>
      <c r="C862" t="s">
        <v>1655</v>
      </c>
      <c r="D862" t="s">
        <v>122</v>
      </c>
      <c r="E862">
        <v>7</v>
      </c>
      <c r="F862">
        <v>34.19</v>
      </c>
      <c r="G862" t="s">
        <v>41</v>
      </c>
      <c r="H862" t="s">
        <v>24</v>
      </c>
      <c r="I862" t="s">
        <v>33</v>
      </c>
      <c r="J862" t="b">
        <v>0</v>
      </c>
      <c r="K862" t="s">
        <v>47</v>
      </c>
      <c r="L862" t="s">
        <v>52</v>
      </c>
      <c r="M862" t="s">
        <v>28</v>
      </c>
      <c r="N862">
        <f>YEAR(Table1[[#This Row],[Date]])</f>
        <v>2020</v>
      </c>
      <c r="O862" t="str">
        <f>TEXT(Table1[[#This Row],[Date]],"mmm")</f>
        <v>Nov</v>
      </c>
      <c r="P862" t="str">
        <f>IF(Table1[[#This Row],[Total_Cost]]&lt;25,"low",IF(Table1[[#This Row],[Total_Cost]]&lt;60,"medium","high"))</f>
        <v>medium</v>
      </c>
      <c r="Q862" t="str">
        <f>IF(Table1[[#This Row],[Discount_Applied]]=TRUE,"discount applied","no discount")</f>
        <v>no discount</v>
      </c>
    </row>
    <row r="863" spans="1:17" x14ac:dyDescent="0.3">
      <c r="A863">
        <v>1000000861</v>
      </c>
      <c r="B863" s="1">
        <v>43893.614988425928</v>
      </c>
      <c r="C863" t="s">
        <v>1656</v>
      </c>
      <c r="D863" t="s">
        <v>1657</v>
      </c>
      <c r="E863">
        <v>1</v>
      </c>
      <c r="F863">
        <v>52.49</v>
      </c>
      <c r="G863" t="s">
        <v>15</v>
      </c>
      <c r="H863" t="s">
        <v>24</v>
      </c>
      <c r="I863" t="s">
        <v>33</v>
      </c>
      <c r="J863" t="b">
        <v>1</v>
      </c>
      <c r="K863" t="s">
        <v>80</v>
      </c>
      <c r="L863" t="s">
        <v>38</v>
      </c>
      <c r="M863" t="s">
        <v>28</v>
      </c>
      <c r="N863">
        <f>YEAR(Table1[[#This Row],[Date]])</f>
        <v>2020</v>
      </c>
      <c r="O863" t="str">
        <f>TEXT(Table1[[#This Row],[Date]],"mmm")</f>
        <v>Mar</v>
      </c>
      <c r="P863" t="str">
        <f>IF(Table1[[#This Row],[Total_Cost]]&lt;25,"low",IF(Table1[[#This Row],[Total_Cost]]&lt;60,"medium","high"))</f>
        <v>medium</v>
      </c>
      <c r="Q863" t="str">
        <f>IF(Table1[[#This Row],[Discount_Applied]]=TRUE,"discount applied","no discount")</f>
        <v>discount applied</v>
      </c>
    </row>
    <row r="864" spans="1:17" x14ac:dyDescent="0.3">
      <c r="A864">
        <v>1000000862</v>
      </c>
      <c r="B864" s="1">
        <v>44073.761377314811</v>
      </c>
      <c r="C864" t="s">
        <v>1658</v>
      </c>
      <c r="D864" t="s">
        <v>338</v>
      </c>
      <c r="E864">
        <v>8</v>
      </c>
      <c r="F864">
        <v>78.819999999999993</v>
      </c>
      <c r="G864" t="s">
        <v>41</v>
      </c>
      <c r="H864" t="s">
        <v>129</v>
      </c>
      <c r="I864" t="s">
        <v>17</v>
      </c>
      <c r="J864" t="b">
        <v>0</v>
      </c>
      <c r="K864" t="s">
        <v>51</v>
      </c>
      <c r="L864" t="s">
        <v>52</v>
      </c>
      <c r="M864" t="s">
        <v>28</v>
      </c>
      <c r="N864">
        <f>YEAR(Table1[[#This Row],[Date]])</f>
        <v>2020</v>
      </c>
      <c r="O864" t="str">
        <f>TEXT(Table1[[#This Row],[Date]],"mmm")</f>
        <v>Aug</v>
      </c>
      <c r="P864" t="str">
        <f>IF(Table1[[#This Row],[Total_Cost]]&lt;25,"low",IF(Table1[[#This Row],[Total_Cost]]&lt;60,"medium","high"))</f>
        <v>high</v>
      </c>
      <c r="Q864" t="str">
        <f>IF(Table1[[#This Row],[Discount_Applied]]=TRUE,"discount applied","no discount")</f>
        <v>no discount</v>
      </c>
    </row>
    <row r="865" spans="1:17" x14ac:dyDescent="0.3">
      <c r="A865">
        <v>1000000863</v>
      </c>
      <c r="B865" s="1">
        <v>44736.226053240738</v>
      </c>
      <c r="C865" t="s">
        <v>1659</v>
      </c>
      <c r="D865" t="s">
        <v>1660</v>
      </c>
      <c r="E865">
        <v>2</v>
      </c>
      <c r="F865">
        <v>84.19</v>
      </c>
      <c r="G865" t="s">
        <v>41</v>
      </c>
      <c r="H865" t="s">
        <v>32</v>
      </c>
      <c r="I865" t="s">
        <v>17</v>
      </c>
      <c r="J865" t="b">
        <v>0</v>
      </c>
      <c r="K865" t="s">
        <v>18</v>
      </c>
      <c r="L865" t="s">
        <v>19</v>
      </c>
      <c r="M865" t="s">
        <v>28</v>
      </c>
      <c r="N865">
        <f>YEAR(Table1[[#This Row],[Date]])</f>
        <v>2022</v>
      </c>
      <c r="O865" t="str">
        <f>TEXT(Table1[[#This Row],[Date]],"mmm")</f>
        <v>Jun</v>
      </c>
      <c r="P865" t="str">
        <f>IF(Table1[[#This Row],[Total_Cost]]&lt;25,"low",IF(Table1[[#This Row],[Total_Cost]]&lt;60,"medium","high"))</f>
        <v>high</v>
      </c>
      <c r="Q865" t="str">
        <f>IF(Table1[[#This Row],[Discount_Applied]]=TRUE,"discount applied","no discount")</f>
        <v>no discount</v>
      </c>
    </row>
    <row r="866" spans="1:17" x14ac:dyDescent="0.3">
      <c r="A866">
        <v>1000000864</v>
      </c>
      <c r="B866" s="1">
        <v>44579.122118055559</v>
      </c>
      <c r="C866" t="s">
        <v>1661</v>
      </c>
      <c r="D866" t="s">
        <v>1662</v>
      </c>
      <c r="E866">
        <v>10</v>
      </c>
      <c r="F866">
        <v>23.35</v>
      </c>
      <c r="G866" t="s">
        <v>41</v>
      </c>
      <c r="H866" t="s">
        <v>16</v>
      </c>
      <c r="I866" t="s">
        <v>33</v>
      </c>
      <c r="J866" t="b">
        <v>0</v>
      </c>
      <c r="K866" t="s">
        <v>42</v>
      </c>
      <c r="L866" t="s">
        <v>19</v>
      </c>
      <c r="M866" t="s">
        <v>28</v>
      </c>
      <c r="N866">
        <f>YEAR(Table1[[#This Row],[Date]])</f>
        <v>2022</v>
      </c>
      <c r="O866" t="str">
        <f>TEXT(Table1[[#This Row],[Date]],"mmm")</f>
        <v>Jan</v>
      </c>
      <c r="P866" t="str">
        <f>IF(Table1[[#This Row],[Total_Cost]]&lt;25,"low",IF(Table1[[#This Row],[Total_Cost]]&lt;60,"medium","high"))</f>
        <v>low</v>
      </c>
      <c r="Q866" t="str">
        <f>IF(Table1[[#This Row],[Discount_Applied]]=TRUE,"discount applied","no discount")</f>
        <v>no discount</v>
      </c>
    </row>
    <row r="867" spans="1:17" x14ac:dyDescent="0.3">
      <c r="A867">
        <v>1000000865</v>
      </c>
      <c r="B867" s="1">
        <v>45229.022418981483</v>
      </c>
      <c r="C867" t="s">
        <v>1663</v>
      </c>
      <c r="D867" t="s">
        <v>1664</v>
      </c>
      <c r="E867">
        <v>4</v>
      </c>
      <c r="F867">
        <v>85.43</v>
      </c>
      <c r="G867" t="s">
        <v>31</v>
      </c>
      <c r="H867" t="s">
        <v>65</v>
      </c>
      <c r="I867" t="s">
        <v>25</v>
      </c>
      <c r="J867" t="b">
        <v>1</v>
      </c>
      <c r="K867" t="s">
        <v>18</v>
      </c>
      <c r="L867" t="s">
        <v>27</v>
      </c>
      <c r="M867" t="s">
        <v>20</v>
      </c>
      <c r="N867">
        <f>YEAR(Table1[[#This Row],[Date]])</f>
        <v>2023</v>
      </c>
      <c r="O867" t="str">
        <f>TEXT(Table1[[#This Row],[Date]],"mmm")</f>
        <v>Oct</v>
      </c>
      <c r="P867" t="str">
        <f>IF(Table1[[#This Row],[Total_Cost]]&lt;25,"low",IF(Table1[[#This Row],[Total_Cost]]&lt;60,"medium","high"))</f>
        <v>high</v>
      </c>
      <c r="Q867" t="str">
        <f>IF(Table1[[#This Row],[Discount_Applied]]=TRUE,"discount applied","no discount")</f>
        <v>discount applied</v>
      </c>
    </row>
    <row r="868" spans="1:17" x14ac:dyDescent="0.3">
      <c r="A868">
        <v>1000000866</v>
      </c>
      <c r="B868" s="1">
        <v>44440.069490740738</v>
      </c>
      <c r="C868" t="s">
        <v>1665</v>
      </c>
      <c r="D868" t="s">
        <v>1666</v>
      </c>
      <c r="E868">
        <v>6</v>
      </c>
      <c r="F868">
        <v>63.73</v>
      </c>
      <c r="G868" t="s">
        <v>31</v>
      </c>
      <c r="H868" t="s">
        <v>24</v>
      </c>
      <c r="I868" t="s">
        <v>37</v>
      </c>
      <c r="J868" t="b">
        <v>1</v>
      </c>
      <c r="K868" t="s">
        <v>80</v>
      </c>
      <c r="L868" t="s">
        <v>19</v>
      </c>
      <c r="M868" t="s">
        <v>20</v>
      </c>
      <c r="N868">
        <f>YEAR(Table1[[#This Row],[Date]])</f>
        <v>2021</v>
      </c>
      <c r="O868" t="str">
        <f>TEXT(Table1[[#This Row],[Date]],"mmm")</f>
        <v>Sep</v>
      </c>
      <c r="P868" t="str">
        <f>IF(Table1[[#This Row],[Total_Cost]]&lt;25,"low",IF(Table1[[#This Row],[Total_Cost]]&lt;60,"medium","high"))</f>
        <v>high</v>
      </c>
      <c r="Q868" t="str">
        <f>IF(Table1[[#This Row],[Discount_Applied]]=TRUE,"discount applied","no discount")</f>
        <v>discount applied</v>
      </c>
    </row>
    <row r="869" spans="1:17" x14ac:dyDescent="0.3">
      <c r="A869">
        <v>1000000867</v>
      </c>
      <c r="B869" s="1">
        <v>44743.03634259259</v>
      </c>
      <c r="C869" t="s">
        <v>1667</v>
      </c>
      <c r="D869" t="s">
        <v>1668</v>
      </c>
      <c r="E869">
        <v>6</v>
      </c>
      <c r="F869">
        <v>95.25</v>
      </c>
      <c r="G869" t="s">
        <v>41</v>
      </c>
      <c r="H869" t="s">
        <v>24</v>
      </c>
      <c r="I869" t="s">
        <v>25</v>
      </c>
      <c r="J869" t="b">
        <v>1</v>
      </c>
      <c r="K869" t="s">
        <v>87</v>
      </c>
      <c r="L869" t="s">
        <v>19</v>
      </c>
      <c r="M869" t="s">
        <v>43</v>
      </c>
      <c r="N869">
        <f>YEAR(Table1[[#This Row],[Date]])</f>
        <v>2022</v>
      </c>
      <c r="O869" t="str">
        <f>TEXT(Table1[[#This Row],[Date]],"mmm")</f>
        <v>Jul</v>
      </c>
      <c r="P869" t="str">
        <f>IF(Table1[[#This Row],[Total_Cost]]&lt;25,"low",IF(Table1[[#This Row],[Total_Cost]]&lt;60,"medium","high"))</f>
        <v>high</v>
      </c>
      <c r="Q869" t="str">
        <f>IF(Table1[[#This Row],[Discount_Applied]]=TRUE,"discount applied","no discount")</f>
        <v>discount applied</v>
      </c>
    </row>
    <row r="870" spans="1:17" x14ac:dyDescent="0.3">
      <c r="A870">
        <v>1000000868</v>
      </c>
      <c r="B870" s="1">
        <v>44252.804965277777</v>
      </c>
      <c r="C870" t="s">
        <v>1669</v>
      </c>
      <c r="D870" t="s">
        <v>159</v>
      </c>
      <c r="E870">
        <v>8</v>
      </c>
      <c r="F870">
        <v>26.98</v>
      </c>
      <c r="G870" t="s">
        <v>31</v>
      </c>
      <c r="H870" t="s">
        <v>16</v>
      </c>
      <c r="I870" t="s">
        <v>25</v>
      </c>
      <c r="J870" t="b">
        <v>0</v>
      </c>
      <c r="K870" t="s">
        <v>62</v>
      </c>
      <c r="L870" t="s">
        <v>52</v>
      </c>
      <c r="M870" t="s">
        <v>20</v>
      </c>
      <c r="N870">
        <f>YEAR(Table1[[#This Row],[Date]])</f>
        <v>2021</v>
      </c>
      <c r="O870" t="str">
        <f>TEXT(Table1[[#This Row],[Date]],"mmm")</f>
        <v>Feb</v>
      </c>
      <c r="P870" t="str">
        <f>IF(Table1[[#This Row],[Total_Cost]]&lt;25,"low",IF(Table1[[#This Row],[Total_Cost]]&lt;60,"medium","high"))</f>
        <v>medium</v>
      </c>
      <c r="Q870" t="str">
        <f>IF(Table1[[#This Row],[Discount_Applied]]=TRUE,"discount applied","no discount")</f>
        <v>no discount</v>
      </c>
    </row>
    <row r="871" spans="1:17" x14ac:dyDescent="0.3">
      <c r="A871">
        <v>1000000869</v>
      </c>
      <c r="B871" s="1">
        <v>44603.908483796295</v>
      </c>
      <c r="C871" t="s">
        <v>1670</v>
      </c>
      <c r="D871" t="s">
        <v>1671</v>
      </c>
      <c r="E871">
        <v>7</v>
      </c>
      <c r="F871">
        <v>36.86</v>
      </c>
      <c r="G871" t="s">
        <v>23</v>
      </c>
      <c r="H871" t="s">
        <v>65</v>
      </c>
      <c r="I871" t="s">
        <v>46</v>
      </c>
      <c r="J871" t="b">
        <v>1</v>
      </c>
      <c r="K871" t="s">
        <v>26</v>
      </c>
      <c r="L871" t="s">
        <v>27</v>
      </c>
      <c r="M871" t="s">
        <v>20</v>
      </c>
      <c r="N871">
        <f>YEAR(Table1[[#This Row],[Date]])</f>
        <v>2022</v>
      </c>
      <c r="O871" t="str">
        <f>TEXT(Table1[[#This Row],[Date]],"mmm")</f>
        <v>Feb</v>
      </c>
      <c r="P871" t="str">
        <f>IF(Table1[[#This Row],[Total_Cost]]&lt;25,"low",IF(Table1[[#This Row],[Total_Cost]]&lt;60,"medium","high"))</f>
        <v>medium</v>
      </c>
      <c r="Q871" t="str">
        <f>IF(Table1[[#This Row],[Discount_Applied]]=TRUE,"discount applied","no discount")</f>
        <v>discount applied</v>
      </c>
    </row>
    <row r="872" spans="1:17" x14ac:dyDescent="0.3">
      <c r="A872">
        <v>1000000870</v>
      </c>
      <c r="B872" s="1">
        <v>45052.140381944446</v>
      </c>
      <c r="C872" t="s">
        <v>1672</v>
      </c>
      <c r="D872" t="s">
        <v>936</v>
      </c>
      <c r="E872">
        <v>7</v>
      </c>
      <c r="F872">
        <v>88.33</v>
      </c>
      <c r="G872" t="s">
        <v>31</v>
      </c>
      <c r="H872" t="s">
        <v>36</v>
      </c>
      <c r="I872" t="s">
        <v>59</v>
      </c>
      <c r="J872" t="b">
        <v>0</v>
      </c>
      <c r="K872" t="s">
        <v>80</v>
      </c>
      <c r="L872" t="s">
        <v>38</v>
      </c>
      <c r="M872" t="s">
        <v>28</v>
      </c>
      <c r="N872">
        <f>YEAR(Table1[[#This Row],[Date]])</f>
        <v>2023</v>
      </c>
      <c r="O872" t="str">
        <f>TEXT(Table1[[#This Row],[Date]],"mmm")</f>
        <v>May</v>
      </c>
      <c r="P872" t="str">
        <f>IF(Table1[[#This Row],[Total_Cost]]&lt;25,"low",IF(Table1[[#This Row],[Total_Cost]]&lt;60,"medium","high"))</f>
        <v>high</v>
      </c>
      <c r="Q872" t="str">
        <f>IF(Table1[[#This Row],[Discount_Applied]]=TRUE,"discount applied","no discount")</f>
        <v>no discount</v>
      </c>
    </row>
    <row r="873" spans="1:17" x14ac:dyDescent="0.3">
      <c r="A873">
        <v>1000000871</v>
      </c>
      <c r="B873" s="1">
        <v>44363.983483796299</v>
      </c>
      <c r="C873" t="s">
        <v>1673</v>
      </c>
      <c r="D873" t="s">
        <v>1674</v>
      </c>
      <c r="E873">
        <v>8</v>
      </c>
      <c r="F873">
        <v>72.23</v>
      </c>
      <c r="G873" t="s">
        <v>41</v>
      </c>
      <c r="H873" t="s">
        <v>77</v>
      </c>
      <c r="I873" t="s">
        <v>17</v>
      </c>
      <c r="J873" t="b">
        <v>0</v>
      </c>
      <c r="K873" t="s">
        <v>18</v>
      </c>
      <c r="L873" t="s">
        <v>27</v>
      </c>
      <c r="M873" t="s">
        <v>43</v>
      </c>
      <c r="N873">
        <f>YEAR(Table1[[#This Row],[Date]])</f>
        <v>2021</v>
      </c>
      <c r="O873" t="str">
        <f>TEXT(Table1[[#This Row],[Date]],"mmm")</f>
        <v>Jun</v>
      </c>
      <c r="P873" t="str">
        <f>IF(Table1[[#This Row],[Total_Cost]]&lt;25,"low",IF(Table1[[#This Row],[Total_Cost]]&lt;60,"medium","high"))</f>
        <v>high</v>
      </c>
      <c r="Q873" t="str">
        <f>IF(Table1[[#This Row],[Discount_Applied]]=TRUE,"discount applied","no discount")</f>
        <v>no discount</v>
      </c>
    </row>
    <row r="874" spans="1:17" x14ac:dyDescent="0.3">
      <c r="A874">
        <v>1000000872</v>
      </c>
      <c r="B874" s="1">
        <v>44306.124050925922</v>
      </c>
      <c r="C874" t="s">
        <v>1675</v>
      </c>
      <c r="D874" t="s">
        <v>1676</v>
      </c>
      <c r="E874">
        <v>10</v>
      </c>
      <c r="F874">
        <v>82.22</v>
      </c>
      <c r="G874" t="s">
        <v>41</v>
      </c>
      <c r="H874" t="s">
        <v>24</v>
      </c>
      <c r="I874" t="s">
        <v>37</v>
      </c>
      <c r="J874" t="b">
        <v>0</v>
      </c>
      <c r="K874" t="s">
        <v>42</v>
      </c>
      <c r="L874" t="s">
        <v>27</v>
      </c>
      <c r="M874" t="s">
        <v>43</v>
      </c>
      <c r="N874">
        <f>YEAR(Table1[[#This Row],[Date]])</f>
        <v>2021</v>
      </c>
      <c r="O874" t="str">
        <f>TEXT(Table1[[#This Row],[Date]],"mmm")</f>
        <v>Apr</v>
      </c>
      <c r="P874" t="str">
        <f>IF(Table1[[#This Row],[Total_Cost]]&lt;25,"low",IF(Table1[[#This Row],[Total_Cost]]&lt;60,"medium","high"))</f>
        <v>high</v>
      </c>
      <c r="Q874" t="str">
        <f>IF(Table1[[#This Row],[Discount_Applied]]=TRUE,"discount applied","no discount")</f>
        <v>no discount</v>
      </c>
    </row>
    <row r="875" spans="1:17" x14ac:dyDescent="0.3">
      <c r="A875">
        <v>1000000873</v>
      </c>
      <c r="B875" s="1">
        <v>44325.122106481482</v>
      </c>
      <c r="C875" t="s">
        <v>1677</v>
      </c>
      <c r="D875" t="s">
        <v>1678</v>
      </c>
      <c r="E875">
        <v>4</v>
      </c>
      <c r="F875">
        <v>60.16</v>
      </c>
      <c r="G875" t="s">
        <v>15</v>
      </c>
      <c r="H875" t="s">
        <v>32</v>
      </c>
      <c r="I875" t="s">
        <v>25</v>
      </c>
      <c r="J875" t="b">
        <v>0</v>
      </c>
      <c r="K875" t="s">
        <v>42</v>
      </c>
      <c r="L875" t="s">
        <v>52</v>
      </c>
      <c r="M875" t="s">
        <v>43</v>
      </c>
      <c r="N875">
        <f>YEAR(Table1[[#This Row],[Date]])</f>
        <v>2021</v>
      </c>
      <c r="O875" t="str">
        <f>TEXT(Table1[[#This Row],[Date]],"mmm")</f>
        <v>May</v>
      </c>
      <c r="P875" t="str">
        <f>IF(Table1[[#This Row],[Total_Cost]]&lt;25,"low",IF(Table1[[#This Row],[Total_Cost]]&lt;60,"medium","high"))</f>
        <v>high</v>
      </c>
      <c r="Q875" t="str">
        <f>IF(Table1[[#This Row],[Discount_Applied]]=TRUE,"discount applied","no discount")</f>
        <v>no discount</v>
      </c>
    </row>
    <row r="876" spans="1:17" x14ac:dyDescent="0.3">
      <c r="A876">
        <v>1000000874</v>
      </c>
      <c r="B876" s="1">
        <v>44687.668900462966</v>
      </c>
      <c r="C876" t="s">
        <v>1679</v>
      </c>
      <c r="D876" t="s">
        <v>1680</v>
      </c>
      <c r="E876">
        <v>6</v>
      </c>
      <c r="F876">
        <v>53.16</v>
      </c>
      <c r="G876" t="s">
        <v>15</v>
      </c>
      <c r="H876" t="s">
        <v>36</v>
      </c>
      <c r="I876" t="s">
        <v>33</v>
      </c>
      <c r="J876" t="b">
        <v>1</v>
      </c>
      <c r="K876" t="s">
        <v>18</v>
      </c>
      <c r="L876" t="s">
        <v>52</v>
      </c>
      <c r="M876" t="s">
        <v>20</v>
      </c>
      <c r="N876">
        <f>YEAR(Table1[[#This Row],[Date]])</f>
        <v>2022</v>
      </c>
      <c r="O876" t="str">
        <f>TEXT(Table1[[#This Row],[Date]],"mmm")</f>
        <v>May</v>
      </c>
      <c r="P876" t="str">
        <f>IF(Table1[[#This Row],[Total_Cost]]&lt;25,"low",IF(Table1[[#This Row],[Total_Cost]]&lt;60,"medium","high"))</f>
        <v>medium</v>
      </c>
      <c r="Q876" t="str">
        <f>IF(Table1[[#This Row],[Discount_Applied]]=TRUE,"discount applied","no discount")</f>
        <v>discount applied</v>
      </c>
    </row>
    <row r="877" spans="1:17" x14ac:dyDescent="0.3">
      <c r="A877">
        <v>1000000875</v>
      </c>
      <c r="B877" s="1">
        <v>45099.280081018522</v>
      </c>
      <c r="C877" t="s">
        <v>1681</v>
      </c>
      <c r="D877" t="s">
        <v>795</v>
      </c>
      <c r="E877">
        <v>1</v>
      </c>
      <c r="F877">
        <v>43.36</v>
      </c>
      <c r="G877" t="s">
        <v>41</v>
      </c>
      <c r="H877" t="s">
        <v>129</v>
      </c>
      <c r="I877" t="s">
        <v>59</v>
      </c>
      <c r="J877" t="b">
        <v>1</v>
      </c>
      <c r="K877" t="s">
        <v>42</v>
      </c>
      <c r="L877" t="s">
        <v>19</v>
      </c>
      <c r="M877" t="s">
        <v>20</v>
      </c>
      <c r="N877">
        <f>YEAR(Table1[[#This Row],[Date]])</f>
        <v>2023</v>
      </c>
      <c r="O877" t="str">
        <f>TEXT(Table1[[#This Row],[Date]],"mmm")</f>
        <v>Jun</v>
      </c>
      <c r="P877" t="str">
        <f>IF(Table1[[#This Row],[Total_Cost]]&lt;25,"low",IF(Table1[[#This Row],[Total_Cost]]&lt;60,"medium","high"))</f>
        <v>medium</v>
      </c>
      <c r="Q877" t="str">
        <f>IF(Table1[[#This Row],[Discount_Applied]]=TRUE,"discount applied","no discount")</f>
        <v>discount applied</v>
      </c>
    </row>
    <row r="878" spans="1:17" x14ac:dyDescent="0.3">
      <c r="A878">
        <v>1000000876</v>
      </c>
      <c r="B878" s="1">
        <v>44283.36173611111</v>
      </c>
      <c r="C878" t="s">
        <v>1682</v>
      </c>
      <c r="D878" t="s">
        <v>1683</v>
      </c>
      <c r="E878">
        <v>5</v>
      </c>
      <c r="F878">
        <v>84.83</v>
      </c>
      <c r="G878" t="s">
        <v>31</v>
      </c>
      <c r="H878" t="s">
        <v>50</v>
      </c>
      <c r="I878" t="s">
        <v>46</v>
      </c>
      <c r="J878" t="b">
        <v>0</v>
      </c>
      <c r="K878" t="s">
        <v>18</v>
      </c>
      <c r="L878" t="s">
        <v>52</v>
      </c>
      <c r="M878" t="s">
        <v>20</v>
      </c>
      <c r="N878">
        <f>YEAR(Table1[[#This Row],[Date]])</f>
        <v>2021</v>
      </c>
      <c r="O878" t="str">
        <f>TEXT(Table1[[#This Row],[Date]],"mmm")</f>
        <v>Mar</v>
      </c>
      <c r="P878" t="str">
        <f>IF(Table1[[#This Row],[Total_Cost]]&lt;25,"low",IF(Table1[[#This Row],[Total_Cost]]&lt;60,"medium","high"))</f>
        <v>high</v>
      </c>
      <c r="Q878" t="str">
        <f>IF(Table1[[#This Row],[Discount_Applied]]=TRUE,"discount applied","no discount")</f>
        <v>no discount</v>
      </c>
    </row>
    <row r="879" spans="1:17" x14ac:dyDescent="0.3">
      <c r="A879">
        <v>1000000877</v>
      </c>
      <c r="B879" s="1">
        <v>45360.115937499999</v>
      </c>
      <c r="C879" t="s">
        <v>1684</v>
      </c>
      <c r="D879" t="s">
        <v>1685</v>
      </c>
      <c r="E879">
        <v>3</v>
      </c>
      <c r="F879">
        <v>69.89</v>
      </c>
      <c r="G879" t="s">
        <v>31</v>
      </c>
      <c r="H879" t="s">
        <v>24</v>
      </c>
      <c r="I879" t="s">
        <v>33</v>
      </c>
      <c r="J879" t="b">
        <v>1</v>
      </c>
      <c r="K879" t="s">
        <v>87</v>
      </c>
      <c r="L879" t="s">
        <v>27</v>
      </c>
      <c r="M879" t="s">
        <v>28</v>
      </c>
      <c r="N879">
        <f>YEAR(Table1[[#This Row],[Date]])</f>
        <v>2024</v>
      </c>
      <c r="O879" t="str">
        <f>TEXT(Table1[[#This Row],[Date]],"mmm")</f>
        <v>Mar</v>
      </c>
      <c r="P879" t="str">
        <f>IF(Table1[[#This Row],[Total_Cost]]&lt;25,"low",IF(Table1[[#This Row],[Total_Cost]]&lt;60,"medium","high"))</f>
        <v>high</v>
      </c>
      <c r="Q879" t="str">
        <f>IF(Table1[[#This Row],[Discount_Applied]]=TRUE,"discount applied","no discount")</f>
        <v>discount applied</v>
      </c>
    </row>
    <row r="880" spans="1:17" x14ac:dyDescent="0.3">
      <c r="A880">
        <v>1000000878</v>
      </c>
      <c r="B880" s="1">
        <v>45287.957314814812</v>
      </c>
      <c r="C880" t="s">
        <v>1686</v>
      </c>
      <c r="D880" t="s">
        <v>1687</v>
      </c>
      <c r="E880">
        <v>2</v>
      </c>
      <c r="F880">
        <v>70.709999999999994</v>
      </c>
      <c r="G880" t="s">
        <v>15</v>
      </c>
      <c r="H880" t="s">
        <v>16</v>
      </c>
      <c r="I880" t="s">
        <v>17</v>
      </c>
      <c r="J880" t="b">
        <v>0</v>
      </c>
      <c r="K880" t="s">
        <v>42</v>
      </c>
      <c r="L880" t="s">
        <v>19</v>
      </c>
      <c r="M880" t="s">
        <v>20</v>
      </c>
      <c r="N880">
        <f>YEAR(Table1[[#This Row],[Date]])</f>
        <v>2023</v>
      </c>
      <c r="O880" t="str">
        <f>TEXT(Table1[[#This Row],[Date]],"mmm")</f>
        <v>Dec</v>
      </c>
      <c r="P880" t="str">
        <f>IF(Table1[[#This Row],[Total_Cost]]&lt;25,"low",IF(Table1[[#This Row],[Total_Cost]]&lt;60,"medium","high"))</f>
        <v>high</v>
      </c>
      <c r="Q880" t="str">
        <f>IF(Table1[[#This Row],[Discount_Applied]]=TRUE,"discount applied","no discount")</f>
        <v>no discount</v>
      </c>
    </row>
    <row r="881" spans="1:17" x14ac:dyDescent="0.3">
      <c r="A881">
        <v>1000000879</v>
      </c>
      <c r="B881" s="1">
        <v>44851.417696759258</v>
      </c>
      <c r="C881" t="s">
        <v>1688</v>
      </c>
      <c r="D881" t="s">
        <v>193</v>
      </c>
      <c r="E881">
        <v>3</v>
      </c>
      <c r="F881">
        <v>86.4</v>
      </c>
      <c r="G881" t="s">
        <v>23</v>
      </c>
      <c r="H881" t="s">
        <v>65</v>
      </c>
      <c r="I881" t="s">
        <v>59</v>
      </c>
      <c r="J881" t="b">
        <v>1</v>
      </c>
      <c r="K881" t="s">
        <v>26</v>
      </c>
      <c r="L881" t="s">
        <v>38</v>
      </c>
      <c r="M881" t="s">
        <v>28</v>
      </c>
      <c r="N881">
        <f>YEAR(Table1[[#This Row],[Date]])</f>
        <v>2022</v>
      </c>
      <c r="O881" t="str">
        <f>TEXT(Table1[[#This Row],[Date]],"mmm")</f>
        <v>Oct</v>
      </c>
      <c r="P881" t="str">
        <f>IF(Table1[[#This Row],[Total_Cost]]&lt;25,"low",IF(Table1[[#This Row],[Total_Cost]]&lt;60,"medium","high"))</f>
        <v>high</v>
      </c>
      <c r="Q881" t="str">
        <f>IF(Table1[[#This Row],[Discount_Applied]]=TRUE,"discount applied","no discount")</f>
        <v>discount applied</v>
      </c>
    </row>
    <row r="882" spans="1:17" x14ac:dyDescent="0.3">
      <c r="A882">
        <v>1000000880</v>
      </c>
      <c r="B882" s="1">
        <v>44298.205810185187</v>
      </c>
      <c r="C882" t="s">
        <v>1689</v>
      </c>
      <c r="D882" t="s">
        <v>161</v>
      </c>
      <c r="E882">
        <v>7</v>
      </c>
      <c r="F882">
        <v>28.41</v>
      </c>
      <c r="G882" t="s">
        <v>23</v>
      </c>
      <c r="H882" t="s">
        <v>36</v>
      </c>
      <c r="I882" t="s">
        <v>17</v>
      </c>
      <c r="J882" t="b">
        <v>1</v>
      </c>
      <c r="K882" t="s">
        <v>47</v>
      </c>
      <c r="L882" t="s">
        <v>38</v>
      </c>
      <c r="M882" t="s">
        <v>43</v>
      </c>
      <c r="N882">
        <f>YEAR(Table1[[#This Row],[Date]])</f>
        <v>2021</v>
      </c>
      <c r="O882" t="str">
        <f>TEXT(Table1[[#This Row],[Date]],"mmm")</f>
        <v>Apr</v>
      </c>
      <c r="P882" t="str">
        <f>IF(Table1[[#This Row],[Total_Cost]]&lt;25,"low",IF(Table1[[#This Row],[Total_Cost]]&lt;60,"medium","high"))</f>
        <v>medium</v>
      </c>
      <c r="Q882" t="str">
        <f>IF(Table1[[#This Row],[Discount_Applied]]=TRUE,"discount applied","no discount")</f>
        <v>discount applied</v>
      </c>
    </row>
    <row r="883" spans="1:17" x14ac:dyDescent="0.3">
      <c r="A883">
        <v>1000000881</v>
      </c>
      <c r="B883" s="1">
        <v>44448.281539351854</v>
      </c>
      <c r="C883" t="s">
        <v>1690</v>
      </c>
      <c r="D883" t="s">
        <v>1691</v>
      </c>
      <c r="E883">
        <v>1</v>
      </c>
      <c r="F883">
        <v>14.73</v>
      </c>
      <c r="G883" t="s">
        <v>31</v>
      </c>
      <c r="H883" t="s">
        <v>70</v>
      </c>
      <c r="I883" t="s">
        <v>33</v>
      </c>
      <c r="J883" t="b">
        <v>1</v>
      </c>
      <c r="K883" t="s">
        <v>26</v>
      </c>
      <c r="L883" t="s">
        <v>27</v>
      </c>
      <c r="M883" t="s">
        <v>43</v>
      </c>
      <c r="N883">
        <f>YEAR(Table1[[#This Row],[Date]])</f>
        <v>2021</v>
      </c>
      <c r="O883" t="str">
        <f>TEXT(Table1[[#This Row],[Date]],"mmm")</f>
        <v>Sep</v>
      </c>
      <c r="P883" t="str">
        <f>IF(Table1[[#This Row],[Total_Cost]]&lt;25,"low",IF(Table1[[#This Row],[Total_Cost]]&lt;60,"medium","high"))</f>
        <v>low</v>
      </c>
      <c r="Q883" t="str">
        <f>IF(Table1[[#This Row],[Discount_Applied]]=TRUE,"discount applied","no discount")</f>
        <v>discount applied</v>
      </c>
    </row>
    <row r="884" spans="1:17" x14ac:dyDescent="0.3">
      <c r="A884">
        <v>1000000882</v>
      </c>
      <c r="B884" s="1">
        <v>44657.319525462961</v>
      </c>
      <c r="C884" t="s">
        <v>1692</v>
      </c>
      <c r="D884" t="s">
        <v>1693</v>
      </c>
      <c r="E884">
        <v>10</v>
      </c>
      <c r="F884">
        <v>68.17</v>
      </c>
      <c r="G884" t="s">
        <v>23</v>
      </c>
      <c r="H884" t="s">
        <v>16</v>
      </c>
      <c r="I884" t="s">
        <v>59</v>
      </c>
      <c r="J884" t="b">
        <v>0</v>
      </c>
      <c r="K884" t="s">
        <v>87</v>
      </c>
      <c r="L884" t="s">
        <v>27</v>
      </c>
      <c r="M884" t="s">
        <v>28</v>
      </c>
      <c r="N884">
        <f>YEAR(Table1[[#This Row],[Date]])</f>
        <v>2022</v>
      </c>
      <c r="O884" t="str">
        <f>TEXT(Table1[[#This Row],[Date]],"mmm")</f>
        <v>Apr</v>
      </c>
      <c r="P884" t="str">
        <f>IF(Table1[[#This Row],[Total_Cost]]&lt;25,"low",IF(Table1[[#This Row],[Total_Cost]]&lt;60,"medium","high"))</f>
        <v>high</v>
      </c>
      <c r="Q884" t="str">
        <f>IF(Table1[[#This Row],[Discount_Applied]]=TRUE,"discount applied","no discount")</f>
        <v>no discount</v>
      </c>
    </row>
    <row r="885" spans="1:17" x14ac:dyDescent="0.3">
      <c r="A885">
        <v>1000000883</v>
      </c>
      <c r="B885" s="1">
        <v>43968.131886574076</v>
      </c>
      <c r="C885" t="s">
        <v>1694</v>
      </c>
      <c r="D885" t="s">
        <v>1695</v>
      </c>
      <c r="E885">
        <v>8</v>
      </c>
      <c r="F885">
        <v>75.87</v>
      </c>
      <c r="G885" t="s">
        <v>15</v>
      </c>
      <c r="H885" t="s">
        <v>77</v>
      </c>
      <c r="I885" t="s">
        <v>37</v>
      </c>
      <c r="J885" t="b">
        <v>0</v>
      </c>
      <c r="K885" t="s">
        <v>87</v>
      </c>
      <c r="L885" t="s">
        <v>52</v>
      </c>
      <c r="M885" t="s">
        <v>28</v>
      </c>
      <c r="N885">
        <f>YEAR(Table1[[#This Row],[Date]])</f>
        <v>2020</v>
      </c>
      <c r="O885" t="str">
        <f>TEXT(Table1[[#This Row],[Date]],"mmm")</f>
        <v>May</v>
      </c>
      <c r="P885" t="str">
        <f>IF(Table1[[#This Row],[Total_Cost]]&lt;25,"low",IF(Table1[[#This Row],[Total_Cost]]&lt;60,"medium","high"))</f>
        <v>high</v>
      </c>
      <c r="Q885" t="str">
        <f>IF(Table1[[#This Row],[Discount_Applied]]=TRUE,"discount applied","no discount")</f>
        <v>no discount</v>
      </c>
    </row>
    <row r="886" spans="1:17" x14ac:dyDescent="0.3">
      <c r="A886">
        <v>1000000884</v>
      </c>
      <c r="B886" s="1">
        <v>44412.284039351849</v>
      </c>
      <c r="C886" t="s">
        <v>1696</v>
      </c>
      <c r="D886" t="s">
        <v>1697</v>
      </c>
      <c r="E886">
        <v>1</v>
      </c>
      <c r="F886">
        <v>26.05</v>
      </c>
      <c r="G886" t="s">
        <v>15</v>
      </c>
      <c r="H886" t="s">
        <v>16</v>
      </c>
      <c r="I886" t="s">
        <v>25</v>
      </c>
      <c r="J886" t="b">
        <v>1</v>
      </c>
      <c r="K886" t="s">
        <v>18</v>
      </c>
      <c r="L886" t="s">
        <v>27</v>
      </c>
      <c r="M886" t="s">
        <v>20</v>
      </c>
      <c r="N886">
        <f>YEAR(Table1[[#This Row],[Date]])</f>
        <v>2021</v>
      </c>
      <c r="O886" t="str">
        <f>TEXT(Table1[[#This Row],[Date]],"mmm")</f>
        <v>Aug</v>
      </c>
      <c r="P886" t="str">
        <f>IF(Table1[[#This Row],[Total_Cost]]&lt;25,"low",IF(Table1[[#This Row],[Total_Cost]]&lt;60,"medium","high"))</f>
        <v>medium</v>
      </c>
      <c r="Q886" t="str">
        <f>IF(Table1[[#This Row],[Discount_Applied]]=TRUE,"discount applied","no discount")</f>
        <v>discount applied</v>
      </c>
    </row>
    <row r="887" spans="1:17" x14ac:dyDescent="0.3">
      <c r="A887">
        <v>1000000885</v>
      </c>
      <c r="B887" s="1">
        <v>44999.435555555552</v>
      </c>
      <c r="C887" t="s">
        <v>1698</v>
      </c>
      <c r="D887" t="s">
        <v>1699</v>
      </c>
      <c r="E887">
        <v>9</v>
      </c>
      <c r="F887">
        <v>63.35</v>
      </c>
      <c r="G887" t="s">
        <v>41</v>
      </c>
      <c r="H887" t="s">
        <v>50</v>
      </c>
      <c r="I887" t="s">
        <v>33</v>
      </c>
      <c r="J887" t="b">
        <v>0</v>
      </c>
      <c r="K887" t="s">
        <v>80</v>
      </c>
      <c r="L887" t="s">
        <v>27</v>
      </c>
      <c r="M887" t="s">
        <v>20</v>
      </c>
      <c r="N887">
        <f>YEAR(Table1[[#This Row],[Date]])</f>
        <v>2023</v>
      </c>
      <c r="O887" t="str">
        <f>TEXT(Table1[[#This Row],[Date]],"mmm")</f>
        <v>Mar</v>
      </c>
      <c r="P887" t="str">
        <f>IF(Table1[[#This Row],[Total_Cost]]&lt;25,"low",IF(Table1[[#This Row],[Total_Cost]]&lt;60,"medium","high"))</f>
        <v>high</v>
      </c>
      <c r="Q887" t="str">
        <f>IF(Table1[[#This Row],[Discount_Applied]]=TRUE,"discount applied","no discount")</f>
        <v>no discount</v>
      </c>
    </row>
    <row r="888" spans="1:17" x14ac:dyDescent="0.3">
      <c r="A888">
        <v>1000000886</v>
      </c>
      <c r="B888" s="1">
        <v>44111.979548611111</v>
      </c>
      <c r="C888" t="s">
        <v>1700</v>
      </c>
      <c r="D888" t="s">
        <v>1701</v>
      </c>
      <c r="E888">
        <v>3</v>
      </c>
      <c r="F888">
        <v>84.95</v>
      </c>
      <c r="G888" t="s">
        <v>23</v>
      </c>
      <c r="H888" t="s">
        <v>50</v>
      </c>
      <c r="I888" t="s">
        <v>25</v>
      </c>
      <c r="J888" t="b">
        <v>1</v>
      </c>
      <c r="K888" t="s">
        <v>87</v>
      </c>
      <c r="L888" t="s">
        <v>52</v>
      </c>
      <c r="M888" t="s">
        <v>28</v>
      </c>
      <c r="N888">
        <f>YEAR(Table1[[#This Row],[Date]])</f>
        <v>2020</v>
      </c>
      <c r="O888" t="str">
        <f>TEXT(Table1[[#This Row],[Date]],"mmm")</f>
        <v>Oct</v>
      </c>
      <c r="P888" t="str">
        <f>IF(Table1[[#This Row],[Total_Cost]]&lt;25,"low",IF(Table1[[#This Row],[Total_Cost]]&lt;60,"medium","high"))</f>
        <v>high</v>
      </c>
      <c r="Q888" t="str">
        <f>IF(Table1[[#This Row],[Discount_Applied]]=TRUE,"discount applied","no discount")</f>
        <v>discount applied</v>
      </c>
    </row>
    <row r="889" spans="1:17" x14ac:dyDescent="0.3">
      <c r="A889">
        <v>1000000887</v>
      </c>
      <c r="B889" s="1">
        <v>44713.740902777776</v>
      </c>
      <c r="C889" t="s">
        <v>1702</v>
      </c>
      <c r="D889" t="s">
        <v>1703</v>
      </c>
      <c r="E889">
        <v>1</v>
      </c>
      <c r="F889">
        <v>61.36</v>
      </c>
      <c r="G889" t="s">
        <v>31</v>
      </c>
      <c r="H889" t="s">
        <v>65</v>
      </c>
      <c r="I889" t="s">
        <v>46</v>
      </c>
      <c r="J889" t="b">
        <v>0</v>
      </c>
      <c r="K889" t="s">
        <v>42</v>
      </c>
      <c r="L889" t="s">
        <v>27</v>
      </c>
      <c r="M889" t="s">
        <v>28</v>
      </c>
      <c r="N889">
        <f>YEAR(Table1[[#This Row],[Date]])</f>
        <v>2022</v>
      </c>
      <c r="O889" t="str">
        <f>TEXT(Table1[[#This Row],[Date]],"mmm")</f>
        <v>Jun</v>
      </c>
      <c r="P889" t="str">
        <f>IF(Table1[[#This Row],[Total_Cost]]&lt;25,"low",IF(Table1[[#This Row],[Total_Cost]]&lt;60,"medium","high"))</f>
        <v>high</v>
      </c>
      <c r="Q889" t="str">
        <f>IF(Table1[[#This Row],[Discount_Applied]]=TRUE,"discount applied","no discount")</f>
        <v>no discount</v>
      </c>
    </row>
    <row r="890" spans="1:17" x14ac:dyDescent="0.3">
      <c r="A890">
        <v>1000000888</v>
      </c>
      <c r="B890" s="1">
        <v>44825.144085648149</v>
      </c>
      <c r="C890" t="s">
        <v>1704</v>
      </c>
      <c r="D890" t="s">
        <v>1705</v>
      </c>
      <c r="E890">
        <v>9</v>
      </c>
      <c r="F890">
        <v>29.65</v>
      </c>
      <c r="G890" t="s">
        <v>41</v>
      </c>
      <c r="H890" t="s">
        <v>32</v>
      </c>
      <c r="I890" t="s">
        <v>37</v>
      </c>
      <c r="J890" t="b">
        <v>1</v>
      </c>
      <c r="K890" t="s">
        <v>26</v>
      </c>
      <c r="L890" t="s">
        <v>38</v>
      </c>
      <c r="M890" t="s">
        <v>20</v>
      </c>
      <c r="N890">
        <f>YEAR(Table1[[#This Row],[Date]])</f>
        <v>2022</v>
      </c>
      <c r="O890" t="str">
        <f>TEXT(Table1[[#This Row],[Date]],"mmm")</f>
        <v>Sep</v>
      </c>
      <c r="P890" t="str">
        <f>IF(Table1[[#This Row],[Total_Cost]]&lt;25,"low",IF(Table1[[#This Row],[Total_Cost]]&lt;60,"medium","high"))</f>
        <v>medium</v>
      </c>
      <c r="Q890" t="str">
        <f>IF(Table1[[#This Row],[Discount_Applied]]=TRUE,"discount applied","no discount")</f>
        <v>discount applied</v>
      </c>
    </row>
    <row r="891" spans="1:17" x14ac:dyDescent="0.3">
      <c r="A891">
        <v>1000000889</v>
      </c>
      <c r="B891" s="1">
        <v>45336.325833333336</v>
      </c>
      <c r="C891" t="s">
        <v>1706</v>
      </c>
      <c r="D891" t="s">
        <v>1707</v>
      </c>
      <c r="E891">
        <v>6</v>
      </c>
      <c r="F891">
        <v>91.39</v>
      </c>
      <c r="G891" t="s">
        <v>31</v>
      </c>
      <c r="H891" t="s">
        <v>96</v>
      </c>
      <c r="I891" t="s">
        <v>25</v>
      </c>
      <c r="J891" t="b">
        <v>0</v>
      </c>
      <c r="K891" t="s">
        <v>51</v>
      </c>
      <c r="L891" t="s">
        <v>19</v>
      </c>
      <c r="M891" t="s">
        <v>28</v>
      </c>
      <c r="N891">
        <f>YEAR(Table1[[#This Row],[Date]])</f>
        <v>2024</v>
      </c>
      <c r="O891" t="str">
        <f>TEXT(Table1[[#This Row],[Date]],"mmm")</f>
        <v>Feb</v>
      </c>
      <c r="P891" t="str">
        <f>IF(Table1[[#This Row],[Total_Cost]]&lt;25,"low",IF(Table1[[#This Row],[Total_Cost]]&lt;60,"medium","high"))</f>
        <v>high</v>
      </c>
      <c r="Q891" t="str">
        <f>IF(Table1[[#This Row],[Discount_Applied]]=TRUE,"discount applied","no discount")</f>
        <v>no discount</v>
      </c>
    </row>
    <row r="892" spans="1:17" x14ac:dyDescent="0.3">
      <c r="A892">
        <v>1000000890</v>
      </c>
      <c r="B892" s="1">
        <v>44294.28396990741</v>
      </c>
      <c r="C892" t="s">
        <v>1708</v>
      </c>
      <c r="D892" t="s">
        <v>122</v>
      </c>
      <c r="E892">
        <v>9</v>
      </c>
      <c r="F892">
        <v>73.05</v>
      </c>
      <c r="G892" t="s">
        <v>31</v>
      </c>
      <c r="H892" t="s">
        <v>16</v>
      </c>
      <c r="I892" t="s">
        <v>46</v>
      </c>
      <c r="J892" t="b">
        <v>0</v>
      </c>
      <c r="K892" t="s">
        <v>47</v>
      </c>
      <c r="L892" t="s">
        <v>52</v>
      </c>
      <c r="M892" t="s">
        <v>28</v>
      </c>
      <c r="N892">
        <f>YEAR(Table1[[#This Row],[Date]])</f>
        <v>2021</v>
      </c>
      <c r="O892" t="str">
        <f>TEXT(Table1[[#This Row],[Date]],"mmm")</f>
        <v>Apr</v>
      </c>
      <c r="P892" t="str">
        <f>IF(Table1[[#This Row],[Total_Cost]]&lt;25,"low",IF(Table1[[#This Row],[Total_Cost]]&lt;60,"medium","high"))</f>
        <v>high</v>
      </c>
      <c r="Q892" t="str">
        <f>IF(Table1[[#This Row],[Discount_Applied]]=TRUE,"discount applied","no discount")</f>
        <v>no discount</v>
      </c>
    </row>
    <row r="893" spans="1:17" x14ac:dyDescent="0.3">
      <c r="A893">
        <v>1000000891</v>
      </c>
      <c r="B893" s="1">
        <v>44634.164282407408</v>
      </c>
      <c r="C893" t="s">
        <v>1709</v>
      </c>
      <c r="D893" t="s">
        <v>1710</v>
      </c>
      <c r="E893">
        <v>5</v>
      </c>
      <c r="F893">
        <v>27.22</v>
      </c>
      <c r="G893" t="s">
        <v>31</v>
      </c>
      <c r="H893" t="s">
        <v>24</v>
      </c>
      <c r="I893" t="s">
        <v>59</v>
      </c>
      <c r="J893" t="b">
        <v>1</v>
      </c>
      <c r="K893" t="s">
        <v>87</v>
      </c>
      <c r="L893" t="s">
        <v>19</v>
      </c>
      <c r="M893" t="s">
        <v>20</v>
      </c>
      <c r="N893">
        <f>YEAR(Table1[[#This Row],[Date]])</f>
        <v>2022</v>
      </c>
      <c r="O893" t="str">
        <f>TEXT(Table1[[#This Row],[Date]],"mmm")</f>
        <v>Mar</v>
      </c>
      <c r="P893" t="str">
        <f>IF(Table1[[#This Row],[Total_Cost]]&lt;25,"low",IF(Table1[[#This Row],[Total_Cost]]&lt;60,"medium","high"))</f>
        <v>medium</v>
      </c>
      <c r="Q893" t="str">
        <f>IF(Table1[[#This Row],[Discount_Applied]]=TRUE,"discount applied","no discount")</f>
        <v>discount applied</v>
      </c>
    </row>
    <row r="894" spans="1:17" x14ac:dyDescent="0.3">
      <c r="A894">
        <v>1000000892</v>
      </c>
      <c r="B894" s="1">
        <v>44004.030798611115</v>
      </c>
      <c r="C894" t="s">
        <v>1711</v>
      </c>
      <c r="D894" t="s">
        <v>1712</v>
      </c>
      <c r="E894">
        <v>1</v>
      </c>
      <c r="F894">
        <v>31.46</v>
      </c>
      <c r="G894" t="s">
        <v>41</v>
      </c>
      <c r="H894" t="s">
        <v>65</v>
      </c>
      <c r="I894" t="s">
        <v>46</v>
      </c>
      <c r="J894" t="b">
        <v>1</v>
      </c>
      <c r="K894" t="s">
        <v>18</v>
      </c>
      <c r="L894" t="s">
        <v>52</v>
      </c>
      <c r="M894" t="s">
        <v>28</v>
      </c>
      <c r="N894">
        <f>YEAR(Table1[[#This Row],[Date]])</f>
        <v>2020</v>
      </c>
      <c r="O894" t="str">
        <f>TEXT(Table1[[#This Row],[Date]],"mmm")</f>
        <v>Jun</v>
      </c>
      <c r="P894" t="str">
        <f>IF(Table1[[#This Row],[Total_Cost]]&lt;25,"low",IF(Table1[[#This Row],[Total_Cost]]&lt;60,"medium","high"))</f>
        <v>medium</v>
      </c>
      <c r="Q894" t="str">
        <f>IF(Table1[[#This Row],[Discount_Applied]]=TRUE,"discount applied","no discount")</f>
        <v>discount applied</v>
      </c>
    </row>
    <row r="895" spans="1:17" x14ac:dyDescent="0.3">
      <c r="A895">
        <v>1000000893</v>
      </c>
      <c r="B895" s="1">
        <v>45001.807893518519</v>
      </c>
      <c r="C895" t="s">
        <v>1713</v>
      </c>
      <c r="D895" t="s">
        <v>1714</v>
      </c>
      <c r="E895">
        <v>7</v>
      </c>
      <c r="F895">
        <v>53.72</v>
      </c>
      <c r="G895" t="s">
        <v>15</v>
      </c>
      <c r="H895" t="s">
        <v>65</v>
      </c>
      <c r="I895" t="s">
        <v>59</v>
      </c>
      <c r="J895" t="b">
        <v>0</v>
      </c>
      <c r="K895" t="s">
        <v>47</v>
      </c>
      <c r="L895" t="s">
        <v>27</v>
      </c>
      <c r="M895" t="s">
        <v>28</v>
      </c>
      <c r="N895">
        <f>YEAR(Table1[[#This Row],[Date]])</f>
        <v>2023</v>
      </c>
      <c r="O895" t="str">
        <f>TEXT(Table1[[#This Row],[Date]],"mmm")</f>
        <v>Mar</v>
      </c>
      <c r="P895" t="str">
        <f>IF(Table1[[#This Row],[Total_Cost]]&lt;25,"low",IF(Table1[[#This Row],[Total_Cost]]&lt;60,"medium","high"))</f>
        <v>medium</v>
      </c>
      <c r="Q895" t="str">
        <f>IF(Table1[[#This Row],[Discount_Applied]]=TRUE,"discount applied","no discount")</f>
        <v>no discount</v>
      </c>
    </row>
    <row r="896" spans="1:17" x14ac:dyDescent="0.3">
      <c r="A896">
        <v>1000000894</v>
      </c>
      <c r="B896" s="1">
        <v>43922.503506944442</v>
      </c>
      <c r="C896" t="s">
        <v>1715</v>
      </c>
      <c r="D896" t="s">
        <v>1716</v>
      </c>
      <c r="E896">
        <v>9</v>
      </c>
      <c r="F896">
        <v>39.369999999999997</v>
      </c>
      <c r="G896" t="s">
        <v>15</v>
      </c>
      <c r="H896" t="s">
        <v>65</v>
      </c>
      <c r="I896" t="s">
        <v>59</v>
      </c>
      <c r="J896" t="b">
        <v>0</v>
      </c>
      <c r="K896" t="s">
        <v>87</v>
      </c>
      <c r="L896" t="s">
        <v>52</v>
      </c>
      <c r="M896" t="s">
        <v>28</v>
      </c>
      <c r="N896">
        <f>YEAR(Table1[[#This Row],[Date]])</f>
        <v>2020</v>
      </c>
      <c r="O896" t="str">
        <f>TEXT(Table1[[#This Row],[Date]],"mmm")</f>
        <v>Apr</v>
      </c>
      <c r="P896" t="str">
        <f>IF(Table1[[#This Row],[Total_Cost]]&lt;25,"low",IF(Table1[[#This Row],[Total_Cost]]&lt;60,"medium","high"))</f>
        <v>medium</v>
      </c>
      <c r="Q896" t="str">
        <f>IF(Table1[[#This Row],[Discount_Applied]]=TRUE,"discount applied","no discount")</f>
        <v>no discount</v>
      </c>
    </row>
    <row r="897" spans="1:17" x14ac:dyDescent="0.3">
      <c r="A897">
        <v>1000000895</v>
      </c>
      <c r="B897" s="1">
        <v>43906.915266203701</v>
      </c>
      <c r="C897" t="s">
        <v>1717</v>
      </c>
      <c r="D897" t="s">
        <v>1718</v>
      </c>
      <c r="E897">
        <v>2</v>
      </c>
      <c r="F897">
        <v>47.82</v>
      </c>
      <c r="G897" t="s">
        <v>41</v>
      </c>
      <c r="H897" t="s">
        <v>129</v>
      </c>
      <c r="I897" t="s">
        <v>59</v>
      </c>
      <c r="J897" t="b">
        <v>1</v>
      </c>
      <c r="K897" t="s">
        <v>51</v>
      </c>
      <c r="L897" t="s">
        <v>38</v>
      </c>
      <c r="M897" t="s">
        <v>20</v>
      </c>
      <c r="N897">
        <f>YEAR(Table1[[#This Row],[Date]])</f>
        <v>2020</v>
      </c>
      <c r="O897" t="str">
        <f>TEXT(Table1[[#This Row],[Date]],"mmm")</f>
        <v>Mar</v>
      </c>
      <c r="P897" t="str">
        <f>IF(Table1[[#This Row],[Total_Cost]]&lt;25,"low",IF(Table1[[#This Row],[Total_Cost]]&lt;60,"medium","high"))</f>
        <v>medium</v>
      </c>
      <c r="Q897" t="str">
        <f>IF(Table1[[#This Row],[Discount_Applied]]=TRUE,"discount applied","no discount")</f>
        <v>discount applied</v>
      </c>
    </row>
    <row r="898" spans="1:17" x14ac:dyDescent="0.3">
      <c r="A898">
        <v>1000000896</v>
      </c>
      <c r="B898" s="1">
        <v>44304.976203703707</v>
      </c>
      <c r="C898" t="s">
        <v>1719</v>
      </c>
      <c r="D898" t="s">
        <v>1720</v>
      </c>
      <c r="E898">
        <v>8</v>
      </c>
      <c r="F898">
        <v>85.21</v>
      </c>
      <c r="G898" t="s">
        <v>23</v>
      </c>
      <c r="H898" t="s">
        <v>65</v>
      </c>
      <c r="I898" t="s">
        <v>33</v>
      </c>
      <c r="J898" t="b">
        <v>0</v>
      </c>
      <c r="K898" t="s">
        <v>80</v>
      </c>
      <c r="L898" t="s">
        <v>19</v>
      </c>
      <c r="M898" t="s">
        <v>43</v>
      </c>
      <c r="N898">
        <f>YEAR(Table1[[#This Row],[Date]])</f>
        <v>2021</v>
      </c>
      <c r="O898" t="str">
        <f>TEXT(Table1[[#This Row],[Date]],"mmm")</f>
        <v>Apr</v>
      </c>
      <c r="P898" t="str">
        <f>IF(Table1[[#This Row],[Total_Cost]]&lt;25,"low",IF(Table1[[#This Row],[Total_Cost]]&lt;60,"medium","high"))</f>
        <v>high</v>
      </c>
      <c r="Q898" t="str">
        <f>IF(Table1[[#This Row],[Discount_Applied]]=TRUE,"discount applied","no discount")</f>
        <v>no discount</v>
      </c>
    </row>
    <row r="899" spans="1:17" x14ac:dyDescent="0.3">
      <c r="A899">
        <v>1000000897</v>
      </c>
      <c r="B899" s="1">
        <v>45293.075057870374</v>
      </c>
      <c r="C899" t="s">
        <v>1721</v>
      </c>
      <c r="D899" t="s">
        <v>1722</v>
      </c>
      <c r="E899">
        <v>10</v>
      </c>
      <c r="F899">
        <v>55.74</v>
      </c>
      <c r="G899" t="s">
        <v>41</v>
      </c>
      <c r="H899" t="s">
        <v>129</v>
      </c>
      <c r="I899" t="s">
        <v>46</v>
      </c>
      <c r="J899" t="b">
        <v>0</v>
      </c>
      <c r="K899" t="s">
        <v>87</v>
      </c>
      <c r="L899" t="s">
        <v>38</v>
      </c>
      <c r="M899" t="s">
        <v>28</v>
      </c>
      <c r="N899">
        <f>YEAR(Table1[[#This Row],[Date]])</f>
        <v>2024</v>
      </c>
      <c r="O899" t="str">
        <f>TEXT(Table1[[#This Row],[Date]],"mmm")</f>
        <v>Jan</v>
      </c>
      <c r="P899" t="str">
        <f>IF(Table1[[#This Row],[Total_Cost]]&lt;25,"low",IF(Table1[[#This Row],[Total_Cost]]&lt;60,"medium","high"))</f>
        <v>medium</v>
      </c>
      <c r="Q899" t="str">
        <f>IF(Table1[[#This Row],[Discount_Applied]]=TRUE,"discount applied","no discount")</f>
        <v>no discount</v>
      </c>
    </row>
    <row r="900" spans="1:17" x14ac:dyDescent="0.3">
      <c r="A900">
        <v>1000000898</v>
      </c>
      <c r="B900" s="1">
        <v>44325.245717592596</v>
      </c>
      <c r="C900" t="s">
        <v>1723</v>
      </c>
      <c r="D900" t="s">
        <v>161</v>
      </c>
      <c r="E900">
        <v>8</v>
      </c>
      <c r="F900">
        <v>6.61</v>
      </c>
      <c r="G900" t="s">
        <v>15</v>
      </c>
      <c r="H900" t="s">
        <v>24</v>
      </c>
      <c r="I900" t="s">
        <v>37</v>
      </c>
      <c r="J900" t="b">
        <v>0</v>
      </c>
      <c r="K900" t="s">
        <v>18</v>
      </c>
      <c r="L900" t="s">
        <v>27</v>
      </c>
      <c r="M900" t="s">
        <v>28</v>
      </c>
      <c r="N900">
        <f>YEAR(Table1[[#This Row],[Date]])</f>
        <v>2021</v>
      </c>
      <c r="O900" t="str">
        <f>TEXT(Table1[[#This Row],[Date]],"mmm")</f>
        <v>May</v>
      </c>
      <c r="P900" t="str">
        <f>IF(Table1[[#This Row],[Total_Cost]]&lt;25,"low",IF(Table1[[#This Row],[Total_Cost]]&lt;60,"medium","high"))</f>
        <v>low</v>
      </c>
      <c r="Q900" t="str">
        <f>IF(Table1[[#This Row],[Discount_Applied]]=TRUE,"discount applied","no discount")</f>
        <v>no discount</v>
      </c>
    </row>
    <row r="901" spans="1:17" x14ac:dyDescent="0.3">
      <c r="A901">
        <v>1000000899</v>
      </c>
      <c r="B901" s="1">
        <v>43851.033576388887</v>
      </c>
      <c r="C901" t="s">
        <v>1724</v>
      </c>
      <c r="D901" t="s">
        <v>1725</v>
      </c>
      <c r="E901">
        <v>5</v>
      </c>
      <c r="F901">
        <v>73.98</v>
      </c>
      <c r="G901" t="s">
        <v>23</v>
      </c>
      <c r="H901" t="s">
        <v>16</v>
      </c>
      <c r="I901" t="s">
        <v>46</v>
      </c>
      <c r="J901" t="b">
        <v>0</v>
      </c>
      <c r="K901" t="s">
        <v>26</v>
      </c>
      <c r="L901" t="s">
        <v>52</v>
      </c>
      <c r="M901" t="s">
        <v>28</v>
      </c>
      <c r="N901">
        <f>YEAR(Table1[[#This Row],[Date]])</f>
        <v>2020</v>
      </c>
      <c r="O901" t="str">
        <f>TEXT(Table1[[#This Row],[Date]],"mmm")</f>
        <v>Jan</v>
      </c>
      <c r="P901" t="str">
        <f>IF(Table1[[#This Row],[Total_Cost]]&lt;25,"low",IF(Table1[[#This Row],[Total_Cost]]&lt;60,"medium","high"))</f>
        <v>high</v>
      </c>
      <c r="Q901" t="str">
        <f>IF(Table1[[#This Row],[Discount_Applied]]=TRUE,"discount applied","no discount")</f>
        <v>no discount</v>
      </c>
    </row>
    <row r="902" spans="1:17" x14ac:dyDescent="0.3">
      <c r="A902">
        <v>1000000900</v>
      </c>
      <c r="B902" s="1">
        <v>44532.224479166667</v>
      </c>
      <c r="C902" t="s">
        <v>1726</v>
      </c>
      <c r="D902" t="s">
        <v>1727</v>
      </c>
      <c r="E902">
        <v>8</v>
      </c>
      <c r="F902">
        <v>23.67</v>
      </c>
      <c r="G902" t="s">
        <v>41</v>
      </c>
      <c r="H902" t="s">
        <v>36</v>
      </c>
      <c r="I902" t="s">
        <v>33</v>
      </c>
      <c r="J902" t="b">
        <v>1</v>
      </c>
      <c r="K902" t="s">
        <v>42</v>
      </c>
      <c r="L902" t="s">
        <v>38</v>
      </c>
      <c r="M902" t="s">
        <v>20</v>
      </c>
      <c r="N902">
        <f>YEAR(Table1[[#This Row],[Date]])</f>
        <v>2021</v>
      </c>
      <c r="O902" t="str">
        <f>TEXT(Table1[[#This Row],[Date]],"mmm")</f>
        <v>Dec</v>
      </c>
      <c r="P902" t="str">
        <f>IF(Table1[[#This Row],[Total_Cost]]&lt;25,"low",IF(Table1[[#This Row],[Total_Cost]]&lt;60,"medium","high"))</f>
        <v>low</v>
      </c>
      <c r="Q902" t="str">
        <f>IF(Table1[[#This Row],[Discount_Applied]]=TRUE,"discount applied","no discount")</f>
        <v>discount applied</v>
      </c>
    </row>
    <row r="903" spans="1:17" x14ac:dyDescent="0.3">
      <c r="A903">
        <v>1000000901</v>
      </c>
      <c r="B903" s="1">
        <v>45163.780532407407</v>
      </c>
      <c r="C903" t="s">
        <v>1728</v>
      </c>
      <c r="D903" t="s">
        <v>1729</v>
      </c>
      <c r="E903">
        <v>6</v>
      </c>
      <c r="F903">
        <v>33.79</v>
      </c>
      <c r="G903" t="s">
        <v>15</v>
      </c>
      <c r="H903" t="s">
        <v>36</v>
      </c>
      <c r="I903" t="s">
        <v>17</v>
      </c>
      <c r="J903" t="b">
        <v>0</v>
      </c>
      <c r="K903" t="s">
        <v>51</v>
      </c>
      <c r="L903" t="s">
        <v>52</v>
      </c>
      <c r="M903" t="s">
        <v>43</v>
      </c>
      <c r="N903">
        <f>YEAR(Table1[[#This Row],[Date]])</f>
        <v>2023</v>
      </c>
      <c r="O903" t="str">
        <f>TEXT(Table1[[#This Row],[Date]],"mmm")</f>
        <v>Aug</v>
      </c>
      <c r="P903" t="str">
        <f>IF(Table1[[#This Row],[Total_Cost]]&lt;25,"low",IF(Table1[[#This Row],[Total_Cost]]&lt;60,"medium","high"))</f>
        <v>medium</v>
      </c>
      <c r="Q903" t="str">
        <f>IF(Table1[[#This Row],[Discount_Applied]]=TRUE,"discount applied","no discount")</f>
        <v>no discount</v>
      </c>
    </row>
    <row r="904" spans="1:17" x14ac:dyDescent="0.3">
      <c r="A904">
        <v>1000000902</v>
      </c>
      <c r="B904" s="1">
        <v>45325.721354166664</v>
      </c>
      <c r="C904" t="s">
        <v>1730</v>
      </c>
      <c r="D904" t="s">
        <v>1731</v>
      </c>
      <c r="E904">
        <v>3</v>
      </c>
      <c r="F904">
        <v>49.81</v>
      </c>
      <c r="G904" t="s">
        <v>41</v>
      </c>
      <c r="H904" t="s">
        <v>96</v>
      </c>
      <c r="I904" t="s">
        <v>17</v>
      </c>
      <c r="J904" t="b">
        <v>1</v>
      </c>
      <c r="K904" t="s">
        <v>80</v>
      </c>
      <c r="L904" t="s">
        <v>38</v>
      </c>
      <c r="M904" t="s">
        <v>20</v>
      </c>
      <c r="N904">
        <f>YEAR(Table1[[#This Row],[Date]])</f>
        <v>2024</v>
      </c>
      <c r="O904" t="str">
        <f>TEXT(Table1[[#This Row],[Date]],"mmm")</f>
        <v>Feb</v>
      </c>
      <c r="P904" t="str">
        <f>IF(Table1[[#This Row],[Total_Cost]]&lt;25,"low",IF(Table1[[#This Row],[Total_Cost]]&lt;60,"medium","high"))</f>
        <v>medium</v>
      </c>
      <c r="Q904" t="str">
        <f>IF(Table1[[#This Row],[Discount_Applied]]=TRUE,"discount applied","no discount")</f>
        <v>discount applied</v>
      </c>
    </row>
    <row r="905" spans="1:17" x14ac:dyDescent="0.3">
      <c r="A905">
        <v>1000000903</v>
      </c>
      <c r="B905" s="1">
        <v>44059.32234953704</v>
      </c>
      <c r="C905" t="s">
        <v>1732</v>
      </c>
      <c r="D905" t="s">
        <v>1733</v>
      </c>
      <c r="E905">
        <v>2</v>
      </c>
      <c r="F905">
        <v>89.42</v>
      </c>
      <c r="G905" t="s">
        <v>23</v>
      </c>
      <c r="H905" t="s">
        <v>65</v>
      </c>
      <c r="I905" t="s">
        <v>33</v>
      </c>
      <c r="J905" t="b">
        <v>1</v>
      </c>
      <c r="K905" t="s">
        <v>42</v>
      </c>
      <c r="L905" t="s">
        <v>52</v>
      </c>
      <c r="M905" t="s">
        <v>20</v>
      </c>
      <c r="N905">
        <f>YEAR(Table1[[#This Row],[Date]])</f>
        <v>2020</v>
      </c>
      <c r="O905" t="str">
        <f>TEXT(Table1[[#This Row],[Date]],"mmm")</f>
        <v>Aug</v>
      </c>
      <c r="P905" t="str">
        <f>IF(Table1[[#This Row],[Total_Cost]]&lt;25,"low",IF(Table1[[#This Row],[Total_Cost]]&lt;60,"medium","high"))</f>
        <v>high</v>
      </c>
      <c r="Q905" t="str">
        <f>IF(Table1[[#This Row],[Discount_Applied]]=TRUE,"discount applied","no discount")</f>
        <v>discount applied</v>
      </c>
    </row>
    <row r="906" spans="1:17" x14ac:dyDescent="0.3">
      <c r="A906">
        <v>1000000904</v>
      </c>
      <c r="B906" s="1">
        <v>45119.965532407405</v>
      </c>
      <c r="C906" t="s">
        <v>1734</v>
      </c>
      <c r="D906" t="s">
        <v>250</v>
      </c>
      <c r="E906">
        <v>10</v>
      </c>
      <c r="F906">
        <v>52.08</v>
      </c>
      <c r="G906" t="s">
        <v>15</v>
      </c>
      <c r="H906" t="s">
        <v>129</v>
      </c>
      <c r="I906" t="s">
        <v>33</v>
      </c>
      <c r="J906" t="b">
        <v>1</v>
      </c>
      <c r="K906" t="s">
        <v>18</v>
      </c>
      <c r="L906" t="s">
        <v>38</v>
      </c>
      <c r="M906" t="s">
        <v>43</v>
      </c>
      <c r="N906">
        <f>YEAR(Table1[[#This Row],[Date]])</f>
        <v>2023</v>
      </c>
      <c r="O906" t="str">
        <f>TEXT(Table1[[#This Row],[Date]],"mmm")</f>
        <v>Jul</v>
      </c>
      <c r="P906" t="str">
        <f>IF(Table1[[#This Row],[Total_Cost]]&lt;25,"low",IF(Table1[[#This Row],[Total_Cost]]&lt;60,"medium","high"))</f>
        <v>medium</v>
      </c>
      <c r="Q906" t="str">
        <f>IF(Table1[[#This Row],[Discount_Applied]]=TRUE,"discount applied","no discount")</f>
        <v>discount applied</v>
      </c>
    </row>
    <row r="907" spans="1:17" x14ac:dyDescent="0.3">
      <c r="A907">
        <v>1000000905</v>
      </c>
      <c r="B907" s="1">
        <v>44809.418634259258</v>
      </c>
      <c r="C907" t="s">
        <v>1735</v>
      </c>
      <c r="D907" t="s">
        <v>1736</v>
      </c>
      <c r="E907">
        <v>8</v>
      </c>
      <c r="F907">
        <v>65.39</v>
      </c>
      <c r="G907" t="s">
        <v>31</v>
      </c>
      <c r="H907" t="s">
        <v>96</v>
      </c>
      <c r="I907" t="s">
        <v>17</v>
      </c>
      <c r="J907" t="b">
        <v>1</v>
      </c>
      <c r="K907" t="s">
        <v>47</v>
      </c>
      <c r="L907" t="s">
        <v>52</v>
      </c>
      <c r="M907" t="s">
        <v>20</v>
      </c>
      <c r="N907">
        <f>YEAR(Table1[[#This Row],[Date]])</f>
        <v>2022</v>
      </c>
      <c r="O907" t="str">
        <f>TEXT(Table1[[#This Row],[Date]],"mmm")</f>
        <v>Sep</v>
      </c>
      <c r="P907" t="str">
        <f>IF(Table1[[#This Row],[Total_Cost]]&lt;25,"low",IF(Table1[[#This Row],[Total_Cost]]&lt;60,"medium","high"))</f>
        <v>high</v>
      </c>
      <c r="Q907" t="str">
        <f>IF(Table1[[#This Row],[Discount_Applied]]=TRUE,"discount applied","no discount")</f>
        <v>discount applied</v>
      </c>
    </row>
    <row r="908" spans="1:17" x14ac:dyDescent="0.3">
      <c r="A908">
        <v>1000000906</v>
      </c>
      <c r="B908" s="1">
        <v>44578.230405092596</v>
      </c>
      <c r="C908" t="s">
        <v>1737</v>
      </c>
      <c r="D908" t="s">
        <v>1738</v>
      </c>
      <c r="E908">
        <v>9</v>
      </c>
      <c r="F908">
        <v>55.68</v>
      </c>
      <c r="G908" t="s">
        <v>15</v>
      </c>
      <c r="H908" t="s">
        <v>70</v>
      </c>
      <c r="I908" t="s">
        <v>25</v>
      </c>
      <c r="J908" t="b">
        <v>1</v>
      </c>
      <c r="K908" t="s">
        <v>87</v>
      </c>
      <c r="L908" t="s">
        <v>19</v>
      </c>
      <c r="M908" t="s">
        <v>43</v>
      </c>
      <c r="N908">
        <f>YEAR(Table1[[#This Row],[Date]])</f>
        <v>2022</v>
      </c>
      <c r="O908" t="str">
        <f>TEXT(Table1[[#This Row],[Date]],"mmm")</f>
        <v>Jan</v>
      </c>
      <c r="P908" t="str">
        <f>IF(Table1[[#This Row],[Total_Cost]]&lt;25,"low",IF(Table1[[#This Row],[Total_Cost]]&lt;60,"medium","high"))</f>
        <v>medium</v>
      </c>
      <c r="Q908" t="str">
        <f>IF(Table1[[#This Row],[Discount_Applied]]=TRUE,"discount applied","no discount")</f>
        <v>discount applied</v>
      </c>
    </row>
    <row r="909" spans="1:17" x14ac:dyDescent="0.3">
      <c r="A909">
        <v>1000000907</v>
      </c>
      <c r="B909" s="1">
        <v>44815.582488425927</v>
      </c>
      <c r="C909" t="s">
        <v>1739</v>
      </c>
      <c r="D909" t="s">
        <v>1740</v>
      </c>
      <c r="E909">
        <v>10</v>
      </c>
      <c r="F909">
        <v>30.89</v>
      </c>
      <c r="G909" t="s">
        <v>15</v>
      </c>
      <c r="H909" t="s">
        <v>70</v>
      </c>
      <c r="I909" t="s">
        <v>33</v>
      </c>
      <c r="J909" t="b">
        <v>0</v>
      </c>
      <c r="K909" t="s">
        <v>87</v>
      </c>
      <c r="L909" t="s">
        <v>19</v>
      </c>
      <c r="M909" t="s">
        <v>43</v>
      </c>
      <c r="N909">
        <f>YEAR(Table1[[#This Row],[Date]])</f>
        <v>2022</v>
      </c>
      <c r="O909" t="str">
        <f>TEXT(Table1[[#This Row],[Date]],"mmm")</f>
        <v>Sep</v>
      </c>
      <c r="P909" t="str">
        <f>IF(Table1[[#This Row],[Total_Cost]]&lt;25,"low",IF(Table1[[#This Row],[Total_Cost]]&lt;60,"medium","high"))</f>
        <v>medium</v>
      </c>
      <c r="Q909" t="str">
        <f>IF(Table1[[#This Row],[Discount_Applied]]=TRUE,"discount applied","no discount")</f>
        <v>no discount</v>
      </c>
    </row>
    <row r="910" spans="1:17" x14ac:dyDescent="0.3">
      <c r="A910">
        <v>1000000908</v>
      </c>
      <c r="B910" s="1">
        <v>44947.97996527778</v>
      </c>
      <c r="C910" t="s">
        <v>1741</v>
      </c>
      <c r="D910" t="s">
        <v>1742</v>
      </c>
      <c r="E910">
        <v>10</v>
      </c>
      <c r="F910">
        <v>89.19</v>
      </c>
      <c r="G910" t="s">
        <v>23</v>
      </c>
      <c r="H910" t="s">
        <v>36</v>
      </c>
      <c r="I910" t="s">
        <v>17</v>
      </c>
      <c r="J910" t="b">
        <v>0</v>
      </c>
      <c r="K910" t="s">
        <v>62</v>
      </c>
      <c r="L910" t="s">
        <v>19</v>
      </c>
      <c r="M910" t="s">
        <v>28</v>
      </c>
      <c r="N910">
        <f>YEAR(Table1[[#This Row],[Date]])</f>
        <v>2023</v>
      </c>
      <c r="O910" t="str">
        <f>TEXT(Table1[[#This Row],[Date]],"mmm")</f>
        <v>Jan</v>
      </c>
      <c r="P910" t="str">
        <f>IF(Table1[[#This Row],[Total_Cost]]&lt;25,"low",IF(Table1[[#This Row],[Total_Cost]]&lt;60,"medium","high"))</f>
        <v>high</v>
      </c>
      <c r="Q910" t="str">
        <f>IF(Table1[[#This Row],[Discount_Applied]]=TRUE,"discount applied","no discount")</f>
        <v>no discount</v>
      </c>
    </row>
    <row r="911" spans="1:17" x14ac:dyDescent="0.3">
      <c r="A911">
        <v>1000000909</v>
      </c>
      <c r="B911" s="1">
        <v>44748.916921296295</v>
      </c>
      <c r="C911" t="s">
        <v>1743</v>
      </c>
      <c r="D911" t="s">
        <v>1744</v>
      </c>
      <c r="E911">
        <v>3</v>
      </c>
      <c r="F911">
        <v>70.489999999999995</v>
      </c>
      <c r="G911" t="s">
        <v>23</v>
      </c>
      <c r="H911" t="s">
        <v>32</v>
      </c>
      <c r="I911" t="s">
        <v>37</v>
      </c>
      <c r="J911" t="b">
        <v>1</v>
      </c>
      <c r="K911" t="s">
        <v>80</v>
      </c>
      <c r="L911" t="s">
        <v>38</v>
      </c>
      <c r="M911" t="s">
        <v>28</v>
      </c>
      <c r="N911">
        <f>YEAR(Table1[[#This Row],[Date]])</f>
        <v>2022</v>
      </c>
      <c r="O911" t="str">
        <f>TEXT(Table1[[#This Row],[Date]],"mmm")</f>
        <v>Jul</v>
      </c>
      <c r="P911" t="str">
        <f>IF(Table1[[#This Row],[Total_Cost]]&lt;25,"low",IF(Table1[[#This Row],[Total_Cost]]&lt;60,"medium","high"))</f>
        <v>high</v>
      </c>
      <c r="Q911" t="str">
        <f>IF(Table1[[#This Row],[Discount_Applied]]=TRUE,"discount applied","no discount")</f>
        <v>discount applied</v>
      </c>
    </row>
    <row r="912" spans="1:17" x14ac:dyDescent="0.3">
      <c r="A912">
        <v>1000000910</v>
      </c>
      <c r="B912" s="1">
        <v>44604.403668981482</v>
      </c>
      <c r="C912" t="s">
        <v>1745</v>
      </c>
      <c r="D912" t="s">
        <v>1746</v>
      </c>
      <c r="E912">
        <v>6</v>
      </c>
      <c r="F912">
        <v>45.08</v>
      </c>
      <c r="G912" t="s">
        <v>15</v>
      </c>
      <c r="H912" t="s">
        <v>50</v>
      </c>
      <c r="I912" t="s">
        <v>25</v>
      </c>
      <c r="J912" t="b">
        <v>1</v>
      </c>
      <c r="K912" t="s">
        <v>47</v>
      </c>
      <c r="L912" t="s">
        <v>19</v>
      </c>
      <c r="M912" t="s">
        <v>43</v>
      </c>
      <c r="N912">
        <f>YEAR(Table1[[#This Row],[Date]])</f>
        <v>2022</v>
      </c>
      <c r="O912" t="str">
        <f>TEXT(Table1[[#This Row],[Date]],"mmm")</f>
        <v>Feb</v>
      </c>
      <c r="P912" t="str">
        <f>IF(Table1[[#This Row],[Total_Cost]]&lt;25,"low",IF(Table1[[#This Row],[Total_Cost]]&lt;60,"medium","high"))</f>
        <v>medium</v>
      </c>
      <c r="Q912" t="str">
        <f>IF(Table1[[#This Row],[Discount_Applied]]=TRUE,"discount applied","no discount")</f>
        <v>discount applied</v>
      </c>
    </row>
    <row r="913" spans="1:17" x14ac:dyDescent="0.3">
      <c r="A913">
        <v>1000000911</v>
      </c>
      <c r="B913" s="1">
        <v>44255.107164351852</v>
      </c>
      <c r="C913" t="s">
        <v>1747</v>
      </c>
      <c r="D913" t="s">
        <v>1748</v>
      </c>
      <c r="E913">
        <v>10</v>
      </c>
      <c r="F913">
        <v>86.51</v>
      </c>
      <c r="G913" t="s">
        <v>41</v>
      </c>
      <c r="H913" t="s">
        <v>32</v>
      </c>
      <c r="I913" t="s">
        <v>37</v>
      </c>
      <c r="J913" t="b">
        <v>1</v>
      </c>
      <c r="K913" t="s">
        <v>47</v>
      </c>
      <c r="L913" t="s">
        <v>52</v>
      </c>
      <c r="M913" t="s">
        <v>43</v>
      </c>
      <c r="N913">
        <f>YEAR(Table1[[#This Row],[Date]])</f>
        <v>2021</v>
      </c>
      <c r="O913" t="str">
        <f>TEXT(Table1[[#This Row],[Date]],"mmm")</f>
        <v>Feb</v>
      </c>
      <c r="P913" t="str">
        <f>IF(Table1[[#This Row],[Total_Cost]]&lt;25,"low",IF(Table1[[#This Row],[Total_Cost]]&lt;60,"medium","high"))</f>
        <v>high</v>
      </c>
      <c r="Q913" t="str">
        <f>IF(Table1[[#This Row],[Discount_Applied]]=TRUE,"discount applied","no discount")</f>
        <v>discount applied</v>
      </c>
    </row>
    <row r="914" spans="1:17" x14ac:dyDescent="0.3">
      <c r="A914">
        <v>1000000912</v>
      </c>
      <c r="B914" s="1">
        <v>45266.185856481483</v>
      </c>
      <c r="C914" t="s">
        <v>1749</v>
      </c>
      <c r="D914" t="s">
        <v>992</v>
      </c>
      <c r="E914">
        <v>1</v>
      </c>
      <c r="F914">
        <v>82</v>
      </c>
      <c r="G914" t="s">
        <v>31</v>
      </c>
      <c r="H914" t="s">
        <v>129</v>
      </c>
      <c r="I914" t="s">
        <v>59</v>
      </c>
      <c r="J914" t="b">
        <v>1</v>
      </c>
      <c r="K914" t="s">
        <v>47</v>
      </c>
      <c r="L914" t="s">
        <v>19</v>
      </c>
      <c r="M914" t="s">
        <v>28</v>
      </c>
      <c r="N914">
        <f>YEAR(Table1[[#This Row],[Date]])</f>
        <v>2023</v>
      </c>
      <c r="O914" t="str">
        <f>TEXT(Table1[[#This Row],[Date]],"mmm")</f>
        <v>Dec</v>
      </c>
      <c r="P914" t="str">
        <f>IF(Table1[[#This Row],[Total_Cost]]&lt;25,"low",IF(Table1[[#This Row],[Total_Cost]]&lt;60,"medium","high"))</f>
        <v>high</v>
      </c>
      <c r="Q914" t="str">
        <f>IF(Table1[[#This Row],[Discount_Applied]]=TRUE,"discount applied","no discount")</f>
        <v>discount applied</v>
      </c>
    </row>
    <row r="915" spans="1:17" x14ac:dyDescent="0.3">
      <c r="A915">
        <v>1000000913</v>
      </c>
      <c r="B915" s="1">
        <v>45386.099479166667</v>
      </c>
      <c r="C915" t="s">
        <v>1750</v>
      </c>
      <c r="D915" t="s">
        <v>1751</v>
      </c>
      <c r="E915">
        <v>3</v>
      </c>
      <c r="F915">
        <v>55.43</v>
      </c>
      <c r="G915" t="s">
        <v>23</v>
      </c>
      <c r="H915" t="s">
        <v>77</v>
      </c>
      <c r="I915" t="s">
        <v>25</v>
      </c>
      <c r="J915" t="b">
        <v>1</v>
      </c>
      <c r="K915" t="s">
        <v>47</v>
      </c>
      <c r="L915" t="s">
        <v>38</v>
      </c>
      <c r="M915" t="s">
        <v>43</v>
      </c>
      <c r="N915">
        <f>YEAR(Table1[[#This Row],[Date]])</f>
        <v>2024</v>
      </c>
      <c r="O915" t="str">
        <f>TEXT(Table1[[#This Row],[Date]],"mmm")</f>
        <v>Apr</v>
      </c>
      <c r="P915" t="str">
        <f>IF(Table1[[#This Row],[Total_Cost]]&lt;25,"low",IF(Table1[[#This Row],[Total_Cost]]&lt;60,"medium","high"))</f>
        <v>medium</v>
      </c>
      <c r="Q915" t="str">
        <f>IF(Table1[[#This Row],[Discount_Applied]]=TRUE,"discount applied","no discount")</f>
        <v>discount applied</v>
      </c>
    </row>
    <row r="916" spans="1:17" x14ac:dyDescent="0.3">
      <c r="A916">
        <v>1000000914</v>
      </c>
      <c r="B916" s="1">
        <v>44188.319189814814</v>
      </c>
      <c r="C916" t="s">
        <v>1752</v>
      </c>
      <c r="D916" t="s">
        <v>1753</v>
      </c>
      <c r="E916">
        <v>2</v>
      </c>
      <c r="F916">
        <v>67.11</v>
      </c>
      <c r="G916" t="s">
        <v>31</v>
      </c>
      <c r="H916" t="s">
        <v>16</v>
      </c>
      <c r="I916" t="s">
        <v>33</v>
      </c>
      <c r="J916" t="b">
        <v>0</v>
      </c>
      <c r="K916" t="s">
        <v>87</v>
      </c>
      <c r="L916" t="s">
        <v>19</v>
      </c>
      <c r="M916" t="s">
        <v>20</v>
      </c>
      <c r="N916">
        <f>YEAR(Table1[[#This Row],[Date]])</f>
        <v>2020</v>
      </c>
      <c r="O916" t="str">
        <f>TEXT(Table1[[#This Row],[Date]],"mmm")</f>
        <v>Dec</v>
      </c>
      <c r="P916" t="str">
        <f>IF(Table1[[#This Row],[Total_Cost]]&lt;25,"low",IF(Table1[[#This Row],[Total_Cost]]&lt;60,"medium","high"))</f>
        <v>high</v>
      </c>
      <c r="Q916" t="str">
        <f>IF(Table1[[#This Row],[Discount_Applied]]=TRUE,"discount applied","no discount")</f>
        <v>no discount</v>
      </c>
    </row>
    <row r="917" spans="1:17" x14ac:dyDescent="0.3">
      <c r="A917">
        <v>1000000915</v>
      </c>
      <c r="B917" s="1">
        <v>45020.327557870369</v>
      </c>
      <c r="C917" t="s">
        <v>1754</v>
      </c>
      <c r="D917" t="s">
        <v>1755</v>
      </c>
      <c r="E917">
        <v>8</v>
      </c>
      <c r="F917">
        <v>99.08</v>
      </c>
      <c r="G917" t="s">
        <v>23</v>
      </c>
      <c r="H917" t="s">
        <v>65</v>
      </c>
      <c r="I917" t="s">
        <v>46</v>
      </c>
      <c r="J917" t="b">
        <v>0</v>
      </c>
      <c r="K917" t="s">
        <v>18</v>
      </c>
      <c r="L917" t="s">
        <v>52</v>
      </c>
      <c r="M917" t="s">
        <v>28</v>
      </c>
      <c r="N917">
        <f>YEAR(Table1[[#This Row],[Date]])</f>
        <v>2023</v>
      </c>
      <c r="O917" t="str">
        <f>TEXT(Table1[[#This Row],[Date]],"mmm")</f>
        <v>Apr</v>
      </c>
      <c r="P917" t="str">
        <f>IF(Table1[[#This Row],[Total_Cost]]&lt;25,"low",IF(Table1[[#This Row],[Total_Cost]]&lt;60,"medium","high"))</f>
        <v>high</v>
      </c>
      <c r="Q917" t="str">
        <f>IF(Table1[[#This Row],[Discount_Applied]]=TRUE,"discount applied","no discount")</f>
        <v>no discount</v>
      </c>
    </row>
    <row r="918" spans="1:17" x14ac:dyDescent="0.3">
      <c r="A918">
        <v>1000000916</v>
      </c>
      <c r="B918" s="1">
        <v>43936.202037037037</v>
      </c>
      <c r="C918" t="s">
        <v>1756</v>
      </c>
      <c r="D918" t="s">
        <v>1757</v>
      </c>
      <c r="E918">
        <v>4</v>
      </c>
      <c r="F918">
        <v>94.68</v>
      </c>
      <c r="G918" t="s">
        <v>41</v>
      </c>
      <c r="H918" t="s">
        <v>32</v>
      </c>
      <c r="I918" t="s">
        <v>46</v>
      </c>
      <c r="J918" t="b">
        <v>1</v>
      </c>
      <c r="K918" t="s">
        <v>80</v>
      </c>
      <c r="L918" t="s">
        <v>52</v>
      </c>
      <c r="M918" t="s">
        <v>43</v>
      </c>
      <c r="N918">
        <f>YEAR(Table1[[#This Row],[Date]])</f>
        <v>2020</v>
      </c>
      <c r="O918" t="str">
        <f>TEXT(Table1[[#This Row],[Date]],"mmm")</f>
        <v>Apr</v>
      </c>
      <c r="P918" t="str">
        <f>IF(Table1[[#This Row],[Total_Cost]]&lt;25,"low",IF(Table1[[#This Row],[Total_Cost]]&lt;60,"medium","high"))</f>
        <v>high</v>
      </c>
      <c r="Q918" t="str">
        <f>IF(Table1[[#This Row],[Discount_Applied]]=TRUE,"discount applied","no discount")</f>
        <v>discount applied</v>
      </c>
    </row>
    <row r="919" spans="1:17" x14ac:dyDescent="0.3">
      <c r="A919">
        <v>1000000917</v>
      </c>
      <c r="B919" s="1">
        <v>44094.809039351851</v>
      </c>
      <c r="C919" t="s">
        <v>1758</v>
      </c>
      <c r="D919" t="s">
        <v>1759</v>
      </c>
      <c r="E919">
        <v>4</v>
      </c>
      <c r="F919">
        <v>97.08</v>
      </c>
      <c r="G919" t="s">
        <v>41</v>
      </c>
      <c r="H919" t="s">
        <v>36</v>
      </c>
      <c r="I919" t="s">
        <v>25</v>
      </c>
      <c r="J919" t="b">
        <v>1</v>
      </c>
      <c r="K919" t="s">
        <v>42</v>
      </c>
      <c r="L919" t="s">
        <v>27</v>
      </c>
      <c r="M919" t="s">
        <v>20</v>
      </c>
      <c r="N919">
        <f>YEAR(Table1[[#This Row],[Date]])</f>
        <v>2020</v>
      </c>
      <c r="O919" t="str">
        <f>TEXT(Table1[[#This Row],[Date]],"mmm")</f>
        <v>Sep</v>
      </c>
      <c r="P919" t="str">
        <f>IF(Table1[[#This Row],[Total_Cost]]&lt;25,"low",IF(Table1[[#This Row],[Total_Cost]]&lt;60,"medium","high"))</f>
        <v>high</v>
      </c>
      <c r="Q919" t="str">
        <f>IF(Table1[[#This Row],[Discount_Applied]]=TRUE,"discount applied","no discount")</f>
        <v>discount applied</v>
      </c>
    </row>
    <row r="920" spans="1:17" x14ac:dyDescent="0.3">
      <c r="A920">
        <v>1000000918</v>
      </c>
      <c r="B920" s="1">
        <v>44723.014236111114</v>
      </c>
      <c r="C920" t="s">
        <v>1760</v>
      </c>
      <c r="D920" t="s">
        <v>1761</v>
      </c>
      <c r="E920">
        <v>5</v>
      </c>
      <c r="F920">
        <v>99.18</v>
      </c>
      <c r="G920" t="s">
        <v>23</v>
      </c>
      <c r="H920" t="s">
        <v>65</v>
      </c>
      <c r="I920" t="s">
        <v>17</v>
      </c>
      <c r="J920" t="b">
        <v>0</v>
      </c>
      <c r="K920" t="s">
        <v>47</v>
      </c>
      <c r="L920" t="s">
        <v>52</v>
      </c>
      <c r="M920" t="s">
        <v>28</v>
      </c>
      <c r="N920">
        <f>YEAR(Table1[[#This Row],[Date]])</f>
        <v>2022</v>
      </c>
      <c r="O920" t="str">
        <f>TEXT(Table1[[#This Row],[Date]],"mmm")</f>
        <v>Jun</v>
      </c>
      <c r="P920" t="str">
        <f>IF(Table1[[#This Row],[Total_Cost]]&lt;25,"low",IF(Table1[[#This Row],[Total_Cost]]&lt;60,"medium","high"))</f>
        <v>high</v>
      </c>
      <c r="Q920" t="str">
        <f>IF(Table1[[#This Row],[Discount_Applied]]=TRUE,"discount applied","no discount")</f>
        <v>no discount</v>
      </c>
    </row>
    <row r="921" spans="1:17" x14ac:dyDescent="0.3">
      <c r="A921">
        <v>1000000919</v>
      </c>
      <c r="B921" s="1">
        <v>44283.303946759261</v>
      </c>
      <c r="C921" t="s">
        <v>1762</v>
      </c>
      <c r="D921" t="s">
        <v>1763</v>
      </c>
      <c r="E921">
        <v>3</v>
      </c>
      <c r="F921">
        <v>70.42</v>
      </c>
      <c r="G921" t="s">
        <v>23</v>
      </c>
      <c r="H921" t="s">
        <v>24</v>
      </c>
      <c r="I921" t="s">
        <v>33</v>
      </c>
      <c r="J921" t="b">
        <v>1</v>
      </c>
      <c r="K921" t="s">
        <v>26</v>
      </c>
      <c r="L921" t="s">
        <v>27</v>
      </c>
      <c r="M921" t="s">
        <v>43</v>
      </c>
      <c r="N921">
        <f>YEAR(Table1[[#This Row],[Date]])</f>
        <v>2021</v>
      </c>
      <c r="O921" t="str">
        <f>TEXT(Table1[[#This Row],[Date]],"mmm")</f>
        <v>Mar</v>
      </c>
      <c r="P921" t="str">
        <f>IF(Table1[[#This Row],[Total_Cost]]&lt;25,"low",IF(Table1[[#This Row],[Total_Cost]]&lt;60,"medium","high"))</f>
        <v>high</v>
      </c>
      <c r="Q921" t="str">
        <f>IF(Table1[[#This Row],[Discount_Applied]]=TRUE,"discount applied","no discount")</f>
        <v>discount applied</v>
      </c>
    </row>
    <row r="922" spans="1:17" x14ac:dyDescent="0.3">
      <c r="A922">
        <v>1000000920</v>
      </c>
      <c r="B922" s="1">
        <v>45043.02784722222</v>
      </c>
      <c r="C922" t="s">
        <v>1764</v>
      </c>
      <c r="D922" t="s">
        <v>1765</v>
      </c>
      <c r="E922">
        <v>1</v>
      </c>
      <c r="F922">
        <v>70.09</v>
      </c>
      <c r="G922" t="s">
        <v>31</v>
      </c>
      <c r="H922" t="s">
        <v>70</v>
      </c>
      <c r="I922" t="s">
        <v>37</v>
      </c>
      <c r="J922" t="b">
        <v>0</v>
      </c>
      <c r="K922" t="s">
        <v>87</v>
      </c>
      <c r="L922" t="s">
        <v>52</v>
      </c>
      <c r="M922" t="s">
        <v>20</v>
      </c>
      <c r="N922">
        <f>YEAR(Table1[[#This Row],[Date]])</f>
        <v>2023</v>
      </c>
      <c r="O922" t="str">
        <f>TEXT(Table1[[#This Row],[Date]],"mmm")</f>
        <v>Apr</v>
      </c>
      <c r="P922" t="str">
        <f>IF(Table1[[#This Row],[Total_Cost]]&lt;25,"low",IF(Table1[[#This Row],[Total_Cost]]&lt;60,"medium","high"))</f>
        <v>high</v>
      </c>
      <c r="Q922" t="str">
        <f>IF(Table1[[#This Row],[Discount_Applied]]=TRUE,"discount applied","no discount")</f>
        <v>no discount</v>
      </c>
    </row>
    <row r="923" spans="1:17" x14ac:dyDescent="0.3">
      <c r="A923">
        <v>1000000921</v>
      </c>
      <c r="B923" s="1">
        <v>43957.301712962966</v>
      </c>
      <c r="C923" t="s">
        <v>1766</v>
      </c>
      <c r="D923" t="s">
        <v>1767</v>
      </c>
      <c r="E923">
        <v>9</v>
      </c>
      <c r="F923">
        <v>75.790000000000006</v>
      </c>
      <c r="G923" t="s">
        <v>15</v>
      </c>
      <c r="H923" t="s">
        <v>36</v>
      </c>
      <c r="I923" t="s">
        <v>46</v>
      </c>
      <c r="J923" t="b">
        <v>0</v>
      </c>
      <c r="K923" t="s">
        <v>47</v>
      </c>
      <c r="L923" t="s">
        <v>52</v>
      </c>
      <c r="M923" t="s">
        <v>20</v>
      </c>
      <c r="N923">
        <f>YEAR(Table1[[#This Row],[Date]])</f>
        <v>2020</v>
      </c>
      <c r="O923" t="str">
        <f>TEXT(Table1[[#This Row],[Date]],"mmm")</f>
        <v>May</v>
      </c>
      <c r="P923" t="str">
        <f>IF(Table1[[#This Row],[Total_Cost]]&lt;25,"low",IF(Table1[[#This Row],[Total_Cost]]&lt;60,"medium","high"))</f>
        <v>high</v>
      </c>
      <c r="Q923" t="str">
        <f>IF(Table1[[#This Row],[Discount_Applied]]=TRUE,"discount applied","no discount")</f>
        <v>no discount</v>
      </c>
    </row>
    <row r="924" spans="1:17" x14ac:dyDescent="0.3">
      <c r="A924">
        <v>1000000922</v>
      </c>
      <c r="B924" s="1">
        <v>43972.164456018516</v>
      </c>
      <c r="C924" t="s">
        <v>1768</v>
      </c>
      <c r="D924" t="s">
        <v>1769</v>
      </c>
      <c r="E924">
        <v>7</v>
      </c>
      <c r="F924">
        <v>79.569999999999993</v>
      </c>
      <c r="G924" t="s">
        <v>15</v>
      </c>
      <c r="H924" t="s">
        <v>32</v>
      </c>
      <c r="I924" t="s">
        <v>37</v>
      </c>
      <c r="J924" t="b">
        <v>0</v>
      </c>
      <c r="K924" t="s">
        <v>18</v>
      </c>
      <c r="L924" t="s">
        <v>19</v>
      </c>
      <c r="M924" t="s">
        <v>43</v>
      </c>
      <c r="N924">
        <f>YEAR(Table1[[#This Row],[Date]])</f>
        <v>2020</v>
      </c>
      <c r="O924" t="str">
        <f>TEXT(Table1[[#This Row],[Date]],"mmm")</f>
        <v>May</v>
      </c>
      <c r="P924" t="str">
        <f>IF(Table1[[#This Row],[Total_Cost]]&lt;25,"low",IF(Table1[[#This Row],[Total_Cost]]&lt;60,"medium","high"))</f>
        <v>high</v>
      </c>
      <c r="Q924" t="str">
        <f>IF(Table1[[#This Row],[Discount_Applied]]=TRUE,"discount applied","no discount")</f>
        <v>no discount</v>
      </c>
    </row>
    <row r="925" spans="1:17" x14ac:dyDescent="0.3">
      <c r="A925">
        <v>1000000923</v>
      </c>
      <c r="B925" s="1">
        <v>43991.324479166666</v>
      </c>
      <c r="C925" t="s">
        <v>1770</v>
      </c>
      <c r="D925" t="s">
        <v>1771</v>
      </c>
      <c r="E925">
        <v>8</v>
      </c>
      <c r="F925">
        <v>95.89</v>
      </c>
      <c r="G925" t="s">
        <v>31</v>
      </c>
      <c r="H925" t="s">
        <v>70</v>
      </c>
      <c r="I925" t="s">
        <v>46</v>
      </c>
      <c r="J925" t="b">
        <v>0</v>
      </c>
      <c r="K925" t="s">
        <v>87</v>
      </c>
      <c r="L925" t="s">
        <v>27</v>
      </c>
      <c r="M925" t="s">
        <v>20</v>
      </c>
      <c r="N925">
        <f>YEAR(Table1[[#This Row],[Date]])</f>
        <v>2020</v>
      </c>
      <c r="O925" t="str">
        <f>TEXT(Table1[[#This Row],[Date]],"mmm")</f>
        <v>Jun</v>
      </c>
      <c r="P925" t="str">
        <f>IF(Table1[[#This Row],[Total_Cost]]&lt;25,"low",IF(Table1[[#This Row],[Total_Cost]]&lt;60,"medium","high"))</f>
        <v>high</v>
      </c>
      <c r="Q925" t="str">
        <f>IF(Table1[[#This Row],[Discount_Applied]]=TRUE,"discount applied","no discount")</f>
        <v>no discount</v>
      </c>
    </row>
    <row r="926" spans="1:17" x14ac:dyDescent="0.3">
      <c r="A926">
        <v>1000000924</v>
      </c>
      <c r="B926" s="1">
        <v>43931.996319444443</v>
      </c>
      <c r="C926" t="s">
        <v>1772</v>
      </c>
      <c r="D926" t="s">
        <v>538</v>
      </c>
      <c r="E926">
        <v>7</v>
      </c>
      <c r="F926">
        <v>42.52</v>
      </c>
      <c r="G926" t="s">
        <v>31</v>
      </c>
      <c r="H926" t="s">
        <v>96</v>
      </c>
      <c r="I926" t="s">
        <v>37</v>
      </c>
      <c r="J926" t="b">
        <v>0</v>
      </c>
      <c r="K926" t="s">
        <v>80</v>
      </c>
      <c r="L926" t="s">
        <v>38</v>
      </c>
      <c r="M926" t="s">
        <v>28</v>
      </c>
      <c r="N926">
        <f>YEAR(Table1[[#This Row],[Date]])</f>
        <v>2020</v>
      </c>
      <c r="O926" t="str">
        <f>TEXT(Table1[[#This Row],[Date]],"mmm")</f>
        <v>Apr</v>
      </c>
      <c r="P926" t="str">
        <f>IF(Table1[[#This Row],[Total_Cost]]&lt;25,"low",IF(Table1[[#This Row],[Total_Cost]]&lt;60,"medium","high"))</f>
        <v>medium</v>
      </c>
      <c r="Q926" t="str">
        <f>IF(Table1[[#This Row],[Discount_Applied]]=TRUE,"discount applied","no discount")</f>
        <v>no discount</v>
      </c>
    </row>
    <row r="927" spans="1:17" x14ac:dyDescent="0.3">
      <c r="A927">
        <v>1000000925</v>
      </c>
      <c r="B927" s="1">
        <v>45098.860231481478</v>
      </c>
      <c r="C927" t="s">
        <v>1773</v>
      </c>
      <c r="D927" t="s">
        <v>1774</v>
      </c>
      <c r="E927">
        <v>8</v>
      </c>
      <c r="F927">
        <v>11.86</v>
      </c>
      <c r="G927" t="s">
        <v>15</v>
      </c>
      <c r="H927" t="s">
        <v>96</v>
      </c>
      <c r="I927" t="s">
        <v>59</v>
      </c>
      <c r="J927" t="b">
        <v>0</v>
      </c>
      <c r="K927" t="s">
        <v>47</v>
      </c>
      <c r="L927" t="s">
        <v>27</v>
      </c>
      <c r="M927" t="s">
        <v>28</v>
      </c>
      <c r="N927">
        <f>YEAR(Table1[[#This Row],[Date]])</f>
        <v>2023</v>
      </c>
      <c r="O927" t="str">
        <f>TEXT(Table1[[#This Row],[Date]],"mmm")</f>
        <v>Jun</v>
      </c>
      <c r="P927" t="str">
        <f>IF(Table1[[#This Row],[Total_Cost]]&lt;25,"low",IF(Table1[[#This Row],[Total_Cost]]&lt;60,"medium","high"))</f>
        <v>low</v>
      </c>
      <c r="Q927" t="str">
        <f>IF(Table1[[#This Row],[Discount_Applied]]=TRUE,"discount applied","no discount")</f>
        <v>no discount</v>
      </c>
    </row>
    <row r="928" spans="1:17" x14ac:dyDescent="0.3">
      <c r="A928">
        <v>1000000926</v>
      </c>
      <c r="B928" s="1">
        <v>44829.141250000001</v>
      </c>
      <c r="C928" t="s">
        <v>1775</v>
      </c>
      <c r="D928" t="s">
        <v>1776</v>
      </c>
      <c r="E928">
        <v>4</v>
      </c>
      <c r="F928">
        <v>94.91</v>
      </c>
      <c r="G928" t="s">
        <v>41</v>
      </c>
      <c r="H928" t="s">
        <v>65</v>
      </c>
      <c r="I928" t="s">
        <v>37</v>
      </c>
      <c r="J928" t="b">
        <v>1</v>
      </c>
      <c r="K928" t="s">
        <v>51</v>
      </c>
      <c r="L928" t="s">
        <v>52</v>
      </c>
      <c r="M928" t="s">
        <v>28</v>
      </c>
      <c r="N928">
        <f>YEAR(Table1[[#This Row],[Date]])</f>
        <v>2022</v>
      </c>
      <c r="O928" t="str">
        <f>TEXT(Table1[[#This Row],[Date]],"mmm")</f>
        <v>Sep</v>
      </c>
      <c r="P928" t="str">
        <f>IF(Table1[[#This Row],[Total_Cost]]&lt;25,"low",IF(Table1[[#This Row],[Total_Cost]]&lt;60,"medium","high"))</f>
        <v>high</v>
      </c>
      <c r="Q928" t="str">
        <f>IF(Table1[[#This Row],[Discount_Applied]]=TRUE,"discount applied","no discount")</f>
        <v>discount applied</v>
      </c>
    </row>
    <row r="929" spans="1:17" x14ac:dyDescent="0.3">
      <c r="A929">
        <v>1000000927</v>
      </c>
      <c r="B929" s="1">
        <v>45226.567025462966</v>
      </c>
      <c r="C929" t="s">
        <v>1777</v>
      </c>
      <c r="D929" t="s">
        <v>1778</v>
      </c>
      <c r="E929">
        <v>5</v>
      </c>
      <c r="F929">
        <v>6.99</v>
      </c>
      <c r="G929" t="s">
        <v>41</v>
      </c>
      <c r="H929" t="s">
        <v>32</v>
      </c>
      <c r="I929" t="s">
        <v>37</v>
      </c>
      <c r="J929" t="b">
        <v>1</v>
      </c>
      <c r="K929" t="s">
        <v>87</v>
      </c>
      <c r="L929" t="s">
        <v>52</v>
      </c>
      <c r="M929" t="s">
        <v>43</v>
      </c>
      <c r="N929">
        <f>YEAR(Table1[[#This Row],[Date]])</f>
        <v>2023</v>
      </c>
      <c r="O929" t="str">
        <f>TEXT(Table1[[#This Row],[Date]],"mmm")</f>
        <v>Oct</v>
      </c>
      <c r="P929" t="str">
        <f>IF(Table1[[#This Row],[Total_Cost]]&lt;25,"low",IF(Table1[[#This Row],[Total_Cost]]&lt;60,"medium","high"))</f>
        <v>low</v>
      </c>
      <c r="Q929" t="str">
        <f>IF(Table1[[#This Row],[Discount_Applied]]=TRUE,"discount applied","no discount")</f>
        <v>discount applied</v>
      </c>
    </row>
    <row r="930" spans="1:17" x14ac:dyDescent="0.3">
      <c r="A930">
        <v>1000000928</v>
      </c>
      <c r="B930" s="1">
        <v>44521.31040509259</v>
      </c>
      <c r="C930" t="s">
        <v>1779</v>
      </c>
      <c r="D930" t="s">
        <v>1780</v>
      </c>
      <c r="E930">
        <v>6</v>
      </c>
      <c r="F930">
        <v>15.97</v>
      </c>
      <c r="G930" t="s">
        <v>15</v>
      </c>
      <c r="H930" t="s">
        <v>77</v>
      </c>
      <c r="I930" t="s">
        <v>25</v>
      </c>
      <c r="J930" t="b">
        <v>1</v>
      </c>
      <c r="K930" t="s">
        <v>26</v>
      </c>
      <c r="L930" t="s">
        <v>19</v>
      </c>
      <c r="M930" t="s">
        <v>20</v>
      </c>
      <c r="N930">
        <f>YEAR(Table1[[#This Row],[Date]])</f>
        <v>2021</v>
      </c>
      <c r="O930" t="str">
        <f>TEXT(Table1[[#This Row],[Date]],"mmm")</f>
        <v>Nov</v>
      </c>
      <c r="P930" t="str">
        <f>IF(Table1[[#This Row],[Total_Cost]]&lt;25,"low",IF(Table1[[#This Row],[Total_Cost]]&lt;60,"medium","high"))</f>
        <v>low</v>
      </c>
      <c r="Q930" t="str">
        <f>IF(Table1[[#This Row],[Discount_Applied]]=TRUE,"discount applied","no discount")</f>
        <v>discount applied</v>
      </c>
    </row>
    <row r="931" spans="1:17" x14ac:dyDescent="0.3">
      <c r="A931">
        <v>1000000929</v>
      </c>
      <c r="B931" s="1">
        <v>45314.764548611114</v>
      </c>
      <c r="C931" t="s">
        <v>1781</v>
      </c>
      <c r="D931" t="s">
        <v>352</v>
      </c>
      <c r="E931">
        <v>9</v>
      </c>
      <c r="F931">
        <v>84.91</v>
      </c>
      <c r="G931" t="s">
        <v>23</v>
      </c>
      <c r="H931" t="s">
        <v>96</v>
      </c>
      <c r="I931" t="s">
        <v>46</v>
      </c>
      <c r="J931" t="b">
        <v>1</v>
      </c>
      <c r="K931" t="s">
        <v>26</v>
      </c>
      <c r="L931" t="s">
        <v>27</v>
      </c>
      <c r="M931" t="s">
        <v>43</v>
      </c>
      <c r="N931">
        <f>YEAR(Table1[[#This Row],[Date]])</f>
        <v>2024</v>
      </c>
      <c r="O931" t="str">
        <f>TEXT(Table1[[#This Row],[Date]],"mmm")</f>
        <v>Jan</v>
      </c>
      <c r="P931" t="str">
        <f>IF(Table1[[#This Row],[Total_Cost]]&lt;25,"low",IF(Table1[[#This Row],[Total_Cost]]&lt;60,"medium","high"))</f>
        <v>high</v>
      </c>
      <c r="Q931" t="str">
        <f>IF(Table1[[#This Row],[Discount_Applied]]=TRUE,"discount applied","no discount")</f>
        <v>discount applied</v>
      </c>
    </row>
    <row r="932" spans="1:17" x14ac:dyDescent="0.3">
      <c r="A932">
        <v>1000000930</v>
      </c>
      <c r="B932" s="1">
        <v>44740.235312500001</v>
      </c>
      <c r="C932" t="s">
        <v>1782</v>
      </c>
      <c r="D932" t="s">
        <v>1783</v>
      </c>
      <c r="E932">
        <v>3</v>
      </c>
      <c r="F932">
        <v>60.99</v>
      </c>
      <c r="G932" t="s">
        <v>31</v>
      </c>
      <c r="H932" t="s">
        <v>36</v>
      </c>
      <c r="I932" t="s">
        <v>25</v>
      </c>
      <c r="J932" t="b">
        <v>1</v>
      </c>
      <c r="K932" t="s">
        <v>87</v>
      </c>
      <c r="L932" t="s">
        <v>19</v>
      </c>
      <c r="M932" t="s">
        <v>43</v>
      </c>
      <c r="N932">
        <f>YEAR(Table1[[#This Row],[Date]])</f>
        <v>2022</v>
      </c>
      <c r="O932" t="str">
        <f>TEXT(Table1[[#This Row],[Date]],"mmm")</f>
        <v>Jun</v>
      </c>
      <c r="P932" t="str">
        <f>IF(Table1[[#This Row],[Total_Cost]]&lt;25,"low",IF(Table1[[#This Row],[Total_Cost]]&lt;60,"medium","high"))</f>
        <v>high</v>
      </c>
      <c r="Q932" t="str">
        <f>IF(Table1[[#This Row],[Discount_Applied]]=TRUE,"discount applied","no discount")</f>
        <v>discount applied</v>
      </c>
    </row>
    <row r="933" spans="1:17" x14ac:dyDescent="0.3">
      <c r="A933">
        <v>1000000931</v>
      </c>
      <c r="B933" s="1">
        <v>44738.519814814812</v>
      </c>
      <c r="C933" t="s">
        <v>1784</v>
      </c>
      <c r="D933" t="s">
        <v>1785</v>
      </c>
      <c r="E933">
        <v>4</v>
      </c>
      <c r="F933">
        <v>61.11</v>
      </c>
      <c r="G933" t="s">
        <v>15</v>
      </c>
      <c r="H933" t="s">
        <v>32</v>
      </c>
      <c r="I933" t="s">
        <v>46</v>
      </c>
      <c r="J933" t="b">
        <v>1</v>
      </c>
      <c r="K933" t="s">
        <v>62</v>
      </c>
      <c r="L933" t="s">
        <v>27</v>
      </c>
      <c r="M933" t="s">
        <v>20</v>
      </c>
      <c r="N933">
        <f>YEAR(Table1[[#This Row],[Date]])</f>
        <v>2022</v>
      </c>
      <c r="O933" t="str">
        <f>TEXT(Table1[[#This Row],[Date]],"mmm")</f>
        <v>Jun</v>
      </c>
      <c r="P933" t="str">
        <f>IF(Table1[[#This Row],[Total_Cost]]&lt;25,"low",IF(Table1[[#This Row],[Total_Cost]]&lt;60,"medium","high"))</f>
        <v>high</v>
      </c>
      <c r="Q933" t="str">
        <f>IF(Table1[[#This Row],[Discount_Applied]]=TRUE,"discount applied","no discount")</f>
        <v>discount applied</v>
      </c>
    </row>
    <row r="934" spans="1:17" x14ac:dyDescent="0.3">
      <c r="A934">
        <v>1000000932</v>
      </c>
      <c r="B934" s="1">
        <v>44310.805787037039</v>
      </c>
      <c r="C934" t="s">
        <v>1786</v>
      </c>
      <c r="D934" t="s">
        <v>1787</v>
      </c>
      <c r="E934">
        <v>2</v>
      </c>
      <c r="F934">
        <v>33.869999999999997</v>
      </c>
      <c r="G934" t="s">
        <v>23</v>
      </c>
      <c r="H934" t="s">
        <v>16</v>
      </c>
      <c r="I934" t="s">
        <v>37</v>
      </c>
      <c r="J934" t="b">
        <v>1</v>
      </c>
      <c r="K934" t="s">
        <v>42</v>
      </c>
      <c r="L934" t="s">
        <v>19</v>
      </c>
      <c r="M934" t="s">
        <v>20</v>
      </c>
      <c r="N934">
        <f>YEAR(Table1[[#This Row],[Date]])</f>
        <v>2021</v>
      </c>
      <c r="O934" t="str">
        <f>TEXT(Table1[[#This Row],[Date]],"mmm")</f>
        <v>Apr</v>
      </c>
      <c r="P934" t="str">
        <f>IF(Table1[[#This Row],[Total_Cost]]&lt;25,"low",IF(Table1[[#This Row],[Total_Cost]]&lt;60,"medium","high"))</f>
        <v>medium</v>
      </c>
      <c r="Q934" t="str">
        <f>IF(Table1[[#This Row],[Discount_Applied]]=TRUE,"discount applied","no discount")</f>
        <v>discount applied</v>
      </c>
    </row>
    <row r="935" spans="1:17" x14ac:dyDescent="0.3">
      <c r="A935">
        <v>1000000933</v>
      </c>
      <c r="B935" s="1">
        <v>45357.879733796297</v>
      </c>
      <c r="C935" t="s">
        <v>1788</v>
      </c>
      <c r="D935" t="s">
        <v>1789</v>
      </c>
      <c r="E935">
        <v>2</v>
      </c>
      <c r="F935">
        <v>72.06</v>
      </c>
      <c r="G935" t="s">
        <v>23</v>
      </c>
      <c r="H935" t="s">
        <v>24</v>
      </c>
      <c r="I935" t="s">
        <v>25</v>
      </c>
      <c r="J935" t="b">
        <v>1</v>
      </c>
      <c r="K935" t="s">
        <v>18</v>
      </c>
      <c r="L935" t="s">
        <v>52</v>
      </c>
      <c r="M935" t="s">
        <v>43</v>
      </c>
      <c r="N935">
        <f>YEAR(Table1[[#This Row],[Date]])</f>
        <v>2024</v>
      </c>
      <c r="O935" t="str">
        <f>TEXT(Table1[[#This Row],[Date]],"mmm")</f>
        <v>Mar</v>
      </c>
      <c r="P935" t="str">
        <f>IF(Table1[[#This Row],[Total_Cost]]&lt;25,"low",IF(Table1[[#This Row],[Total_Cost]]&lt;60,"medium","high"))</f>
        <v>high</v>
      </c>
      <c r="Q935" t="str">
        <f>IF(Table1[[#This Row],[Discount_Applied]]=TRUE,"discount applied","no discount")</f>
        <v>discount applied</v>
      </c>
    </row>
    <row r="936" spans="1:17" x14ac:dyDescent="0.3">
      <c r="A936">
        <v>1000000934</v>
      </c>
      <c r="B936" s="1">
        <v>44622.44908564815</v>
      </c>
      <c r="C936" t="s">
        <v>1790</v>
      </c>
      <c r="D936" t="s">
        <v>1791</v>
      </c>
      <c r="E936">
        <v>10</v>
      </c>
      <c r="F936">
        <v>6.24</v>
      </c>
      <c r="G936" t="s">
        <v>15</v>
      </c>
      <c r="H936" t="s">
        <v>24</v>
      </c>
      <c r="I936" t="s">
        <v>17</v>
      </c>
      <c r="J936" t="b">
        <v>1</v>
      </c>
      <c r="K936" t="s">
        <v>62</v>
      </c>
      <c r="L936" t="s">
        <v>52</v>
      </c>
      <c r="M936" t="s">
        <v>28</v>
      </c>
      <c r="N936">
        <f>YEAR(Table1[[#This Row],[Date]])</f>
        <v>2022</v>
      </c>
      <c r="O936" t="str">
        <f>TEXT(Table1[[#This Row],[Date]],"mmm")</f>
        <v>Mar</v>
      </c>
      <c r="P936" t="str">
        <f>IF(Table1[[#This Row],[Total_Cost]]&lt;25,"low",IF(Table1[[#This Row],[Total_Cost]]&lt;60,"medium","high"))</f>
        <v>low</v>
      </c>
      <c r="Q936" t="str">
        <f>IF(Table1[[#This Row],[Discount_Applied]]=TRUE,"discount applied","no discount")</f>
        <v>discount applied</v>
      </c>
    </row>
    <row r="937" spans="1:17" x14ac:dyDescent="0.3">
      <c r="A937">
        <v>1000000935</v>
      </c>
      <c r="B937" s="1">
        <v>43982.257754629631</v>
      </c>
      <c r="C937" t="s">
        <v>1792</v>
      </c>
      <c r="D937" t="s">
        <v>1793</v>
      </c>
      <c r="E937">
        <v>10</v>
      </c>
      <c r="F937">
        <v>9.0299999999999994</v>
      </c>
      <c r="G937" t="s">
        <v>31</v>
      </c>
      <c r="H937" t="s">
        <v>36</v>
      </c>
      <c r="I937" t="s">
        <v>33</v>
      </c>
      <c r="J937" t="b">
        <v>0</v>
      </c>
      <c r="K937" t="s">
        <v>18</v>
      </c>
      <c r="L937" t="s">
        <v>27</v>
      </c>
      <c r="M937" t="s">
        <v>43</v>
      </c>
      <c r="N937">
        <f>YEAR(Table1[[#This Row],[Date]])</f>
        <v>2020</v>
      </c>
      <c r="O937" t="str">
        <f>TEXT(Table1[[#This Row],[Date]],"mmm")</f>
        <v>May</v>
      </c>
      <c r="P937" t="str">
        <f>IF(Table1[[#This Row],[Total_Cost]]&lt;25,"low",IF(Table1[[#This Row],[Total_Cost]]&lt;60,"medium","high"))</f>
        <v>low</v>
      </c>
      <c r="Q937" t="str">
        <f>IF(Table1[[#This Row],[Discount_Applied]]=TRUE,"discount applied","no discount")</f>
        <v>no discount</v>
      </c>
    </row>
    <row r="938" spans="1:17" x14ac:dyDescent="0.3">
      <c r="A938">
        <v>1000000936</v>
      </c>
      <c r="B938" s="1">
        <v>44432.895115740743</v>
      </c>
      <c r="C938" t="s">
        <v>1794</v>
      </c>
      <c r="D938" t="s">
        <v>181</v>
      </c>
      <c r="E938">
        <v>10</v>
      </c>
      <c r="F938">
        <v>97.84</v>
      </c>
      <c r="G938" t="s">
        <v>23</v>
      </c>
      <c r="H938" t="s">
        <v>70</v>
      </c>
      <c r="I938" t="s">
        <v>25</v>
      </c>
      <c r="J938" t="b">
        <v>1</v>
      </c>
      <c r="K938" t="s">
        <v>62</v>
      </c>
      <c r="L938" t="s">
        <v>38</v>
      </c>
      <c r="M938" t="s">
        <v>20</v>
      </c>
      <c r="N938">
        <f>YEAR(Table1[[#This Row],[Date]])</f>
        <v>2021</v>
      </c>
      <c r="O938" t="str">
        <f>TEXT(Table1[[#This Row],[Date]],"mmm")</f>
        <v>Aug</v>
      </c>
      <c r="P938" t="str">
        <f>IF(Table1[[#This Row],[Total_Cost]]&lt;25,"low",IF(Table1[[#This Row],[Total_Cost]]&lt;60,"medium","high"))</f>
        <v>high</v>
      </c>
      <c r="Q938" t="str">
        <f>IF(Table1[[#This Row],[Discount_Applied]]=TRUE,"discount applied","no discount")</f>
        <v>discount applied</v>
      </c>
    </row>
    <row r="939" spans="1:17" x14ac:dyDescent="0.3">
      <c r="A939">
        <v>1000000937</v>
      </c>
      <c r="B939" s="1">
        <v>45104.823148148149</v>
      </c>
      <c r="C939" t="s">
        <v>1795</v>
      </c>
      <c r="D939" t="s">
        <v>1796</v>
      </c>
      <c r="E939">
        <v>10</v>
      </c>
      <c r="F939">
        <v>53.36</v>
      </c>
      <c r="G939" t="s">
        <v>41</v>
      </c>
      <c r="H939" t="s">
        <v>77</v>
      </c>
      <c r="I939" t="s">
        <v>17</v>
      </c>
      <c r="J939" t="b">
        <v>1</v>
      </c>
      <c r="K939" t="s">
        <v>51</v>
      </c>
      <c r="L939" t="s">
        <v>27</v>
      </c>
      <c r="M939" t="s">
        <v>28</v>
      </c>
      <c r="N939">
        <f>YEAR(Table1[[#This Row],[Date]])</f>
        <v>2023</v>
      </c>
      <c r="O939" t="str">
        <f>TEXT(Table1[[#This Row],[Date]],"mmm")</f>
        <v>Jun</v>
      </c>
      <c r="P939" t="str">
        <f>IF(Table1[[#This Row],[Total_Cost]]&lt;25,"low",IF(Table1[[#This Row],[Total_Cost]]&lt;60,"medium","high"))</f>
        <v>medium</v>
      </c>
      <c r="Q939" t="str">
        <f>IF(Table1[[#This Row],[Discount_Applied]]=TRUE,"discount applied","no discount")</f>
        <v>discount applied</v>
      </c>
    </row>
    <row r="940" spans="1:17" x14ac:dyDescent="0.3">
      <c r="A940">
        <v>1000000938</v>
      </c>
      <c r="B940" s="1">
        <v>44333.571377314816</v>
      </c>
      <c r="C940" t="s">
        <v>1797</v>
      </c>
      <c r="D940" t="s">
        <v>1798</v>
      </c>
      <c r="E940">
        <v>1</v>
      </c>
      <c r="F940">
        <v>51.07</v>
      </c>
      <c r="G940" t="s">
        <v>23</v>
      </c>
      <c r="H940" t="s">
        <v>32</v>
      </c>
      <c r="I940" t="s">
        <v>59</v>
      </c>
      <c r="J940" t="b">
        <v>1</v>
      </c>
      <c r="K940" t="s">
        <v>87</v>
      </c>
      <c r="L940" t="s">
        <v>19</v>
      </c>
      <c r="M940" t="s">
        <v>43</v>
      </c>
      <c r="N940">
        <f>YEAR(Table1[[#This Row],[Date]])</f>
        <v>2021</v>
      </c>
      <c r="O940" t="str">
        <f>TEXT(Table1[[#This Row],[Date]],"mmm")</f>
        <v>May</v>
      </c>
      <c r="P940" t="str">
        <f>IF(Table1[[#This Row],[Total_Cost]]&lt;25,"low",IF(Table1[[#This Row],[Total_Cost]]&lt;60,"medium","high"))</f>
        <v>medium</v>
      </c>
      <c r="Q940" t="str">
        <f>IF(Table1[[#This Row],[Discount_Applied]]=TRUE,"discount applied","no discount")</f>
        <v>discount applied</v>
      </c>
    </row>
    <row r="941" spans="1:17" x14ac:dyDescent="0.3">
      <c r="A941">
        <v>1000000939</v>
      </c>
      <c r="B941" s="1">
        <v>44974.541400462964</v>
      </c>
      <c r="C941" t="s">
        <v>1799</v>
      </c>
      <c r="D941" t="s">
        <v>1800</v>
      </c>
      <c r="E941">
        <v>8</v>
      </c>
      <c r="F941">
        <v>36.08</v>
      </c>
      <c r="G941" t="s">
        <v>23</v>
      </c>
      <c r="H941" t="s">
        <v>16</v>
      </c>
      <c r="I941" t="s">
        <v>25</v>
      </c>
      <c r="J941" t="b">
        <v>0</v>
      </c>
      <c r="K941" t="s">
        <v>62</v>
      </c>
      <c r="L941" t="s">
        <v>27</v>
      </c>
      <c r="M941" t="s">
        <v>20</v>
      </c>
      <c r="N941">
        <f>YEAR(Table1[[#This Row],[Date]])</f>
        <v>2023</v>
      </c>
      <c r="O941" t="str">
        <f>TEXT(Table1[[#This Row],[Date]],"mmm")</f>
        <v>Feb</v>
      </c>
      <c r="P941" t="str">
        <f>IF(Table1[[#This Row],[Total_Cost]]&lt;25,"low",IF(Table1[[#This Row],[Total_Cost]]&lt;60,"medium","high"))</f>
        <v>medium</v>
      </c>
      <c r="Q941" t="str">
        <f>IF(Table1[[#This Row],[Discount_Applied]]=TRUE,"discount applied","no discount")</f>
        <v>no discount</v>
      </c>
    </row>
    <row r="942" spans="1:17" x14ac:dyDescent="0.3">
      <c r="A942">
        <v>1000000940</v>
      </c>
      <c r="B942" s="1">
        <v>44803.444224537037</v>
      </c>
      <c r="C942" t="s">
        <v>1801</v>
      </c>
      <c r="D942" t="s">
        <v>159</v>
      </c>
      <c r="E942">
        <v>5</v>
      </c>
      <c r="F942">
        <v>79.69</v>
      </c>
      <c r="G942" t="s">
        <v>41</v>
      </c>
      <c r="H942" t="s">
        <v>16</v>
      </c>
      <c r="I942" t="s">
        <v>59</v>
      </c>
      <c r="J942" t="b">
        <v>1</v>
      </c>
      <c r="K942" t="s">
        <v>26</v>
      </c>
      <c r="L942" t="s">
        <v>19</v>
      </c>
      <c r="M942" t="s">
        <v>43</v>
      </c>
      <c r="N942">
        <f>YEAR(Table1[[#This Row],[Date]])</f>
        <v>2022</v>
      </c>
      <c r="O942" t="str">
        <f>TEXT(Table1[[#This Row],[Date]],"mmm")</f>
        <v>Aug</v>
      </c>
      <c r="P942" t="str">
        <f>IF(Table1[[#This Row],[Total_Cost]]&lt;25,"low",IF(Table1[[#This Row],[Total_Cost]]&lt;60,"medium","high"))</f>
        <v>high</v>
      </c>
      <c r="Q942" t="str">
        <f>IF(Table1[[#This Row],[Discount_Applied]]=TRUE,"discount applied","no discount")</f>
        <v>discount applied</v>
      </c>
    </row>
    <row r="943" spans="1:17" x14ac:dyDescent="0.3">
      <c r="A943">
        <v>1000000941</v>
      </c>
      <c r="B943" s="1">
        <v>43839.263194444444</v>
      </c>
      <c r="C943" t="s">
        <v>1802</v>
      </c>
      <c r="D943" t="s">
        <v>1803</v>
      </c>
      <c r="E943">
        <v>4</v>
      </c>
      <c r="F943">
        <v>59.33</v>
      </c>
      <c r="G943" t="s">
        <v>15</v>
      </c>
      <c r="H943" t="s">
        <v>16</v>
      </c>
      <c r="I943" t="s">
        <v>17</v>
      </c>
      <c r="J943" t="b">
        <v>0</v>
      </c>
      <c r="K943" t="s">
        <v>47</v>
      </c>
      <c r="L943" t="s">
        <v>27</v>
      </c>
      <c r="M943" t="s">
        <v>28</v>
      </c>
      <c r="N943">
        <f>YEAR(Table1[[#This Row],[Date]])</f>
        <v>2020</v>
      </c>
      <c r="O943" t="str">
        <f>TEXT(Table1[[#This Row],[Date]],"mmm")</f>
        <v>Jan</v>
      </c>
      <c r="P943" t="str">
        <f>IF(Table1[[#This Row],[Total_Cost]]&lt;25,"low",IF(Table1[[#This Row],[Total_Cost]]&lt;60,"medium","high"))</f>
        <v>medium</v>
      </c>
      <c r="Q943" t="str">
        <f>IF(Table1[[#This Row],[Discount_Applied]]=TRUE,"discount applied","no discount")</f>
        <v>no discount</v>
      </c>
    </row>
    <row r="944" spans="1:17" x14ac:dyDescent="0.3">
      <c r="A944">
        <v>1000000942</v>
      </c>
      <c r="B944" s="1">
        <v>45315.8983912037</v>
      </c>
      <c r="C944" t="s">
        <v>1804</v>
      </c>
      <c r="D944" t="s">
        <v>1805</v>
      </c>
      <c r="E944">
        <v>8</v>
      </c>
      <c r="F944">
        <v>39.57</v>
      </c>
      <c r="G944" t="s">
        <v>41</v>
      </c>
      <c r="H944" t="s">
        <v>129</v>
      </c>
      <c r="I944" t="s">
        <v>17</v>
      </c>
      <c r="J944" t="b">
        <v>0</v>
      </c>
      <c r="K944" t="s">
        <v>51</v>
      </c>
      <c r="L944" t="s">
        <v>38</v>
      </c>
      <c r="M944" t="s">
        <v>43</v>
      </c>
      <c r="N944">
        <f>YEAR(Table1[[#This Row],[Date]])</f>
        <v>2024</v>
      </c>
      <c r="O944" t="str">
        <f>TEXT(Table1[[#This Row],[Date]],"mmm")</f>
        <v>Jan</v>
      </c>
      <c r="P944" t="str">
        <f>IF(Table1[[#This Row],[Total_Cost]]&lt;25,"low",IF(Table1[[#This Row],[Total_Cost]]&lt;60,"medium","high"))</f>
        <v>medium</v>
      </c>
      <c r="Q944" t="str">
        <f>IF(Table1[[#This Row],[Discount_Applied]]=TRUE,"discount applied","no discount")</f>
        <v>no discount</v>
      </c>
    </row>
    <row r="945" spans="1:17" x14ac:dyDescent="0.3">
      <c r="A945">
        <v>1000000943</v>
      </c>
      <c r="B945" s="1">
        <v>44789.617511574077</v>
      </c>
      <c r="C945" t="s">
        <v>1806</v>
      </c>
      <c r="D945" t="s">
        <v>1807</v>
      </c>
      <c r="E945">
        <v>4</v>
      </c>
      <c r="F945">
        <v>70.45</v>
      </c>
      <c r="G945" t="s">
        <v>15</v>
      </c>
      <c r="H945" t="s">
        <v>50</v>
      </c>
      <c r="I945" t="s">
        <v>17</v>
      </c>
      <c r="J945" t="b">
        <v>1</v>
      </c>
      <c r="K945" t="s">
        <v>18</v>
      </c>
      <c r="L945" t="s">
        <v>38</v>
      </c>
      <c r="M945" t="s">
        <v>20</v>
      </c>
      <c r="N945">
        <f>YEAR(Table1[[#This Row],[Date]])</f>
        <v>2022</v>
      </c>
      <c r="O945" t="str">
        <f>TEXT(Table1[[#This Row],[Date]],"mmm")</f>
        <v>Aug</v>
      </c>
      <c r="P945" t="str">
        <f>IF(Table1[[#This Row],[Total_Cost]]&lt;25,"low",IF(Table1[[#This Row],[Total_Cost]]&lt;60,"medium","high"))</f>
        <v>high</v>
      </c>
      <c r="Q945" t="str">
        <f>IF(Table1[[#This Row],[Discount_Applied]]=TRUE,"discount applied","no discount")</f>
        <v>discount applied</v>
      </c>
    </row>
    <row r="946" spans="1:17" x14ac:dyDescent="0.3">
      <c r="A946">
        <v>1000000944</v>
      </c>
      <c r="B946" s="1">
        <v>44572.864050925928</v>
      </c>
      <c r="C946" t="s">
        <v>1808</v>
      </c>
      <c r="D946" t="s">
        <v>1809</v>
      </c>
      <c r="E946">
        <v>5</v>
      </c>
      <c r="F946">
        <v>17.2</v>
      </c>
      <c r="G946" t="s">
        <v>41</v>
      </c>
      <c r="H946" t="s">
        <v>16</v>
      </c>
      <c r="I946" t="s">
        <v>25</v>
      </c>
      <c r="J946" t="b">
        <v>1</v>
      </c>
      <c r="K946" t="s">
        <v>62</v>
      </c>
      <c r="L946" t="s">
        <v>27</v>
      </c>
      <c r="M946" t="s">
        <v>43</v>
      </c>
      <c r="N946">
        <f>YEAR(Table1[[#This Row],[Date]])</f>
        <v>2022</v>
      </c>
      <c r="O946" t="str">
        <f>TEXT(Table1[[#This Row],[Date]],"mmm")</f>
        <v>Jan</v>
      </c>
      <c r="P946" t="str">
        <f>IF(Table1[[#This Row],[Total_Cost]]&lt;25,"low",IF(Table1[[#This Row],[Total_Cost]]&lt;60,"medium","high"))</f>
        <v>low</v>
      </c>
      <c r="Q946" t="str">
        <f>IF(Table1[[#This Row],[Discount_Applied]]=TRUE,"discount applied","no discount")</f>
        <v>discount applied</v>
      </c>
    </row>
    <row r="947" spans="1:17" x14ac:dyDescent="0.3">
      <c r="A947">
        <v>1000000945</v>
      </c>
      <c r="B947" s="1">
        <v>45054.614374999997</v>
      </c>
      <c r="C947" t="s">
        <v>1810</v>
      </c>
      <c r="D947" t="s">
        <v>1811</v>
      </c>
      <c r="E947">
        <v>3</v>
      </c>
      <c r="F947">
        <v>79.34</v>
      </c>
      <c r="G947" t="s">
        <v>31</v>
      </c>
      <c r="H947" t="s">
        <v>77</v>
      </c>
      <c r="I947" t="s">
        <v>25</v>
      </c>
      <c r="J947" t="b">
        <v>1</v>
      </c>
      <c r="K947" t="s">
        <v>87</v>
      </c>
      <c r="L947" t="s">
        <v>38</v>
      </c>
      <c r="M947" t="s">
        <v>20</v>
      </c>
      <c r="N947">
        <f>YEAR(Table1[[#This Row],[Date]])</f>
        <v>2023</v>
      </c>
      <c r="O947" t="str">
        <f>TEXT(Table1[[#This Row],[Date]],"mmm")</f>
        <v>May</v>
      </c>
      <c r="P947" t="str">
        <f>IF(Table1[[#This Row],[Total_Cost]]&lt;25,"low",IF(Table1[[#This Row],[Total_Cost]]&lt;60,"medium","high"))</f>
        <v>high</v>
      </c>
      <c r="Q947" t="str">
        <f>IF(Table1[[#This Row],[Discount_Applied]]=TRUE,"discount applied","no discount")</f>
        <v>discount applied</v>
      </c>
    </row>
    <row r="948" spans="1:17" x14ac:dyDescent="0.3">
      <c r="A948">
        <v>1000000946</v>
      </c>
      <c r="B948" s="1">
        <v>44100.634363425925</v>
      </c>
      <c r="C948" t="s">
        <v>1812</v>
      </c>
      <c r="D948" t="s">
        <v>1813</v>
      </c>
      <c r="E948">
        <v>4</v>
      </c>
      <c r="F948">
        <v>37.42</v>
      </c>
      <c r="G948" t="s">
        <v>31</v>
      </c>
      <c r="H948" t="s">
        <v>77</v>
      </c>
      <c r="I948" t="s">
        <v>25</v>
      </c>
      <c r="J948" t="b">
        <v>0</v>
      </c>
      <c r="K948" t="s">
        <v>87</v>
      </c>
      <c r="L948" t="s">
        <v>38</v>
      </c>
      <c r="M948" t="s">
        <v>28</v>
      </c>
      <c r="N948">
        <f>YEAR(Table1[[#This Row],[Date]])</f>
        <v>2020</v>
      </c>
      <c r="O948" t="str">
        <f>TEXT(Table1[[#This Row],[Date]],"mmm")</f>
        <v>Sep</v>
      </c>
      <c r="P948" t="str">
        <f>IF(Table1[[#This Row],[Total_Cost]]&lt;25,"low",IF(Table1[[#This Row],[Total_Cost]]&lt;60,"medium","high"))</f>
        <v>medium</v>
      </c>
      <c r="Q948" t="str">
        <f>IF(Table1[[#This Row],[Discount_Applied]]=TRUE,"discount applied","no discount")</f>
        <v>no discount</v>
      </c>
    </row>
    <row r="949" spans="1:17" x14ac:dyDescent="0.3">
      <c r="A949">
        <v>1000000947</v>
      </c>
      <c r="B949" s="1">
        <v>45151.090127314812</v>
      </c>
      <c r="C949" t="s">
        <v>1814</v>
      </c>
      <c r="D949" t="s">
        <v>1815</v>
      </c>
      <c r="E949">
        <v>7</v>
      </c>
      <c r="F949">
        <v>54.78</v>
      </c>
      <c r="G949" t="s">
        <v>23</v>
      </c>
      <c r="H949" t="s">
        <v>16</v>
      </c>
      <c r="I949" t="s">
        <v>46</v>
      </c>
      <c r="J949" t="b">
        <v>1</v>
      </c>
      <c r="K949" t="s">
        <v>80</v>
      </c>
      <c r="L949" t="s">
        <v>27</v>
      </c>
      <c r="M949" t="s">
        <v>20</v>
      </c>
      <c r="N949">
        <f>YEAR(Table1[[#This Row],[Date]])</f>
        <v>2023</v>
      </c>
      <c r="O949" t="str">
        <f>TEXT(Table1[[#This Row],[Date]],"mmm")</f>
        <v>Aug</v>
      </c>
      <c r="P949" t="str">
        <f>IF(Table1[[#This Row],[Total_Cost]]&lt;25,"low",IF(Table1[[#This Row],[Total_Cost]]&lt;60,"medium","high"))</f>
        <v>medium</v>
      </c>
      <c r="Q949" t="str">
        <f>IF(Table1[[#This Row],[Discount_Applied]]=TRUE,"discount applied","no discount")</f>
        <v>discount applied</v>
      </c>
    </row>
    <row r="950" spans="1:17" x14ac:dyDescent="0.3">
      <c r="A950">
        <v>1000000948</v>
      </c>
      <c r="B950" s="1">
        <v>44005.241620370369</v>
      </c>
      <c r="C950" t="s">
        <v>1816</v>
      </c>
      <c r="D950" t="s">
        <v>1817</v>
      </c>
      <c r="E950">
        <v>10</v>
      </c>
      <c r="F950">
        <v>21.99</v>
      </c>
      <c r="G950" t="s">
        <v>31</v>
      </c>
      <c r="H950" t="s">
        <v>16</v>
      </c>
      <c r="I950" t="s">
        <v>25</v>
      </c>
      <c r="J950" t="b">
        <v>1</v>
      </c>
      <c r="K950" t="s">
        <v>18</v>
      </c>
      <c r="L950" t="s">
        <v>52</v>
      </c>
      <c r="M950" t="s">
        <v>43</v>
      </c>
      <c r="N950">
        <f>YEAR(Table1[[#This Row],[Date]])</f>
        <v>2020</v>
      </c>
      <c r="O950" t="str">
        <f>TEXT(Table1[[#This Row],[Date]],"mmm")</f>
        <v>Jun</v>
      </c>
      <c r="P950" t="str">
        <f>IF(Table1[[#This Row],[Total_Cost]]&lt;25,"low",IF(Table1[[#This Row],[Total_Cost]]&lt;60,"medium","high"))</f>
        <v>low</v>
      </c>
      <c r="Q950" t="str">
        <f>IF(Table1[[#This Row],[Discount_Applied]]=TRUE,"discount applied","no discount")</f>
        <v>discount applied</v>
      </c>
    </row>
    <row r="951" spans="1:17" x14ac:dyDescent="0.3">
      <c r="A951">
        <v>1000000949</v>
      </c>
      <c r="B951" s="1">
        <v>45352.180520833332</v>
      </c>
      <c r="C951" t="s">
        <v>1818</v>
      </c>
      <c r="D951" t="s">
        <v>1819</v>
      </c>
      <c r="E951">
        <v>3</v>
      </c>
      <c r="F951">
        <v>85.85</v>
      </c>
      <c r="G951" t="s">
        <v>31</v>
      </c>
      <c r="H951" t="s">
        <v>96</v>
      </c>
      <c r="I951" t="s">
        <v>46</v>
      </c>
      <c r="J951" t="b">
        <v>1</v>
      </c>
      <c r="K951" t="s">
        <v>80</v>
      </c>
      <c r="L951" t="s">
        <v>38</v>
      </c>
      <c r="M951" t="s">
        <v>43</v>
      </c>
      <c r="N951">
        <f>YEAR(Table1[[#This Row],[Date]])</f>
        <v>2024</v>
      </c>
      <c r="O951" t="str">
        <f>TEXT(Table1[[#This Row],[Date]],"mmm")</f>
        <v>Mar</v>
      </c>
      <c r="P951" t="str">
        <f>IF(Table1[[#This Row],[Total_Cost]]&lt;25,"low",IF(Table1[[#This Row],[Total_Cost]]&lt;60,"medium","high"))</f>
        <v>high</v>
      </c>
      <c r="Q951" t="str">
        <f>IF(Table1[[#This Row],[Discount_Applied]]=TRUE,"discount applied","no discount")</f>
        <v>discount applied</v>
      </c>
    </row>
    <row r="952" spans="1:17" x14ac:dyDescent="0.3">
      <c r="A952">
        <v>1000000950</v>
      </c>
      <c r="B952" s="1">
        <v>44746.690196759257</v>
      </c>
      <c r="C952" t="s">
        <v>1820</v>
      </c>
      <c r="D952" t="s">
        <v>1821</v>
      </c>
      <c r="E952">
        <v>7</v>
      </c>
      <c r="F952">
        <v>9.5500000000000007</v>
      </c>
      <c r="G952" t="s">
        <v>15</v>
      </c>
      <c r="H952" t="s">
        <v>32</v>
      </c>
      <c r="I952" t="s">
        <v>46</v>
      </c>
      <c r="J952" t="b">
        <v>1</v>
      </c>
      <c r="K952" t="s">
        <v>26</v>
      </c>
      <c r="L952" t="s">
        <v>27</v>
      </c>
      <c r="M952" t="s">
        <v>20</v>
      </c>
      <c r="N952">
        <f>YEAR(Table1[[#This Row],[Date]])</f>
        <v>2022</v>
      </c>
      <c r="O952" t="str">
        <f>TEXT(Table1[[#This Row],[Date]],"mmm")</f>
        <v>Jul</v>
      </c>
      <c r="P952" t="str">
        <f>IF(Table1[[#This Row],[Total_Cost]]&lt;25,"low",IF(Table1[[#This Row],[Total_Cost]]&lt;60,"medium","high"))</f>
        <v>low</v>
      </c>
      <c r="Q952" t="str">
        <f>IF(Table1[[#This Row],[Discount_Applied]]=TRUE,"discount applied","no discount")</f>
        <v>discount applied</v>
      </c>
    </row>
    <row r="953" spans="1:17" x14ac:dyDescent="0.3">
      <c r="A953">
        <v>1000000951</v>
      </c>
      <c r="B953" s="1">
        <v>44965.129421296297</v>
      </c>
      <c r="C953" t="s">
        <v>1822</v>
      </c>
      <c r="D953" t="s">
        <v>487</v>
      </c>
      <c r="E953">
        <v>10</v>
      </c>
      <c r="F953">
        <v>76.89</v>
      </c>
      <c r="G953" t="s">
        <v>31</v>
      </c>
      <c r="H953" t="s">
        <v>24</v>
      </c>
      <c r="I953" t="s">
        <v>33</v>
      </c>
      <c r="J953" t="b">
        <v>1</v>
      </c>
      <c r="K953" t="s">
        <v>26</v>
      </c>
      <c r="L953" t="s">
        <v>19</v>
      </c>
      <c r="M953" t="s">
        <v>20</v>
      </c>
      <c r="N953">
        <f>YEAR(Table1[[#This Row],[Date]])</f>
        <v>2023</v>
      </c>
      <c r="O953" t="str">
        <f>TEXT(Table1[[#This Row],[Date]],"mmm")</f>
        <v>Feb</v>
      </c>
      <c r="P953" t="str">
        <f>IF(Table1[[#This Row],[Total_Cost]]&lt;25,"low",IF(Table1[[#This Row],[Total_Cost]]&lt;60,"medium","high"))</f>
        <v>high</v>
      </c>
      <c r="Q953" t="str">
        <f>IF(Table1[[#This Row],[Discount_Applied]]=TRUE,"discount applied","no discount")</f>
        <v>discount applied</v>
      </c>
    </row>
    <row r="954" spans="1:17" x14ac:dyDescent="0.3">
      <c r="A954">
        <v>1000000952</v>
      </c>
      <c r="B954" s="1">
        <v>45243.965173611112</v>
      </c>
      <c r="C954" t="s">
        <v>1823</v>
      </c>
      <c r="D954" t="s">
        <v>1824</v>
      </c>
      <c r="E954">
        <v>5</v>
      </c>
      <c r="F954">
        <v>7.19</v>
      </c>
      <c r="G954" t="s">
        <v>23</v>
      </c>
      <c r="H954" t="s">
        <v>77</v>
      </c>
      <c r="I954" t="s">
        <v>33</v>
      </c>
      <c r="J954" t="b">
        <v>0</v>
      </c>
      <c r="K954" t="s">
        <v>62</v>
      </c>
      <c r="L954" t="s">
        <v>38</v>
      </c>
      <c r="M954" t="s">
        <v>20</v>
      </c>
      <c r="N954">
        <f>YEAR(Table1[[#This Row],[Date]])</f>
        <v>2023</v>
      </c>
      <c r="O954" t="str">
        <f>TEXT(Table1[[#This Row],[Date]],"mmm")</f>
        <v>Nov</v>
      </c>
      <c r="P954" t="str">
        <f>IF(Table1[[#This Row],[Total_Cost]]&lt;25,"low",IF(Table1[[#This Row],[Total_Cost]]&lt;60,"medium","high"))</f>
        <v>low</v>
      </c>
      <c r="Q954" t="str">
        <f>IF(Table1[[#This Row],[Discount_Applied]]=TRUE,"discount applied","no discount")</f>
        <v>no discount</v>
      </c>
    </row>
    <row r="955" spans="1:17" x14ac:dyDescent="0.3">
      <c r="A955">
        <v>1000000953</v>
      </c>
      <c r="B955" s="1">
        <v>44962.083796296298</v>
      </c>
      <c r="C955" t="s">
        <v>1825</v>
      </c>
      <c r="D955" t="s">
        <v>1826</v>
      </c>
      <c r="E955">
        <v>6</v>
      </c>
      <c r="F955">
        <v>5.34</v>
      </c>
      <c r="G955" t="s">
        <v>15</v>
      </c>
      <c r="H955" t="s">
        <v>24</v>
      </c>
      <c r="I955" t="s">
        <v>59</v>
      </c>
      <c r="J955" t="b">
        <v>0</v>
      </c>
      <c r="K955" t="s">
        <v>87</v>
      </c>
      <c r="L955" t="s">
        <v>27</v>
      </c>
      <c r="M955" t="s">
        <v>20</v>
      </c>
      <c r="N955">
        <f>YEAR(Table1[[#This Row],[Date]])</f>
        <v>2023</v>
      </c>
      <c r="O955" t="str">
        <f>TEXT(Table1[[#This Row],[Date]],"mmm")</f>
        <v>Feb</v>
      </c>
      <c r="P955" t="str">
        <f>IF(Table1[[#This Row],[Total_Cost]]&lt;25,"low",IF(Table1[[#This Row],[Total_Cost]]&lt;60,"medium","high"))</f>
        <v>low</v>
      </c>
      <c r="Q955" t="str">
        <f>IF(Table1[[#This Row],[Discount_Applied]]=TRUE,"discount applied","no discount")</f>
        <v>no discount</v>
      </c>
    </row>
    <row r="956" spans="1:17" x14ac:dyDescent="0.3">
      <c r="A956">
        <v>1000000954</v>
      </c>
      <c r="B956" s="1">
        <v>44347.054664351854</v>
      </c>
      <c r="C956" t="s">
        <v>1827</v>
      </c>
      <c r="D956" t="s">
        <v>1828</v>
      </c>
      <c r="E956">
        <v>6</v>
      </c>
      <c r="F956">
        <v>38.28</v>
      </c>
      <c r="G956" t="s">
        <v>15</v>
      </c>
      <c r="H956" t="s">
        <v>70</v>
      </c>
      <c r="I956" t="s">
        <v>46</v>
      </c>
      <c r="J956" t="b">
        <v>0</v>
      </c>
      <c r="K956" t="s">
        <v>42</v>
      </c>
      <c r="L956" t="s">
        <v>38</v>
      </c>
      <c r="M956" t="s">
        <v>43</v>
      </c>
      <c r="N956">
        <f>YEAR(Table1[[#This Row],[Date]])</f>
        <v>2021</v>
      </c>
      <c r="O956" t="str">
        <f>TEXT(Table1[[#This Row],[Date]],"mmm")</f>
        <v>May</v>
      </c>
      <c r="P956" t="str">
        <f>IF(Table1[[#This Row],[Total_Cost]]&lt;25,"low",IF(Table1[[#This Row],[Total_Cost]]&lt;60,"medium","high"))</f>
        <v>medium</v>
      </c>
      <c r="Q956" t="str">
        <f>IF(Table1[[#This Row],[Discount_Applied]]=TRUE,"discount applied","no discount")</f>
        <v>no discount</v>
      </c>
    </row>
    <row r="957" spans="1:17" x14ac:dyDescent="0.3">
      <c r="A957">
        <v>1000000955</v>
      </c>
      <c r="B957" s="1">
        <v>45321.792962962965</v>
      </c>
      <c r="C957" t="s">
        <v>1829</v>
      </c>
      <c r="D957" t="s">
        <v>1830</v>
      </c>
      <c r="E957">
        <v>2</v>
      </c>
      <c r="F957">
        <v>80.83</v>
      </c>
      <c r="G957" t="s">
        <v>23</v>
      </c>
      <c r="H957" t="s">
        <v>70</v>
      </c>
      <c r="I957" t="s">
        <v>17</v>
      </c>
      <c r="J957" t="b">
        <v>1</v>
      </c>
      <c r="K957" t="s">
        <v>18</v>
      </c>
      <c r="L957" t="s">
        <v>19</v>
      </c>
      <c r="M957" t="s">
        <v>20</v>
      </c>
      <c r="N957">
        <f>YEAR(Table1[[#This Row],[Date]])</f>
        <v>2024</v>
      </c>
      <c r="O957" t="str">
        <f>TEXT(Table1[[#This Row],[Date]],"mmm")</f>
        <v>Jan</v>
      </c>
      <c r="P957" t="str">
        <f>IF(Table1[[#This Row],[Total_Cost]]&lt;25,"low",IF(Table1[[#This Row],[Total_Cost]]&lt;60,"medium","high"))</f>
        <v>high</v>
      </c>
      <c r="Q957" t="str">
        <f>IF(Table1[[#This Row],[Discount_Applied]]=TRUE,"discount applied","no discount")</f>
        <v>discount applied</v>
      </c>
    </row>
    <row r="958" spans="1:17" x14ac:dyDescent="0.3">
      <c r="A958">
        <v>1000000956</v>
      </c>
      <c r="B958" s="1">
        <v>45120.405590277776</v>
      </c>
      <c r="C958" t="s">
        <v>1831</v>
      </c>
      <c r="D958" t="s">
        <v>1832</v>
      </c>
      <c r="E958">
        <v>1</v>
      </c>
      <c r="F958">
        <v>56.75</v>
      </c>
      <c r="G958" t="s">
        <v>41</v>
      </c>
      <c r="H958" t="s">
        <v>16</v>
      </c>
      <c r="I958" t="s">
        <v>59</v>
      </c>
      <c r="J958" t="b">
        <v>1</v>
      </c>
      <c r="K958" t="s">
        <v>62</v>
      </c>
      <c r="L958" t="s">
        <v>52</v>
      </c>
      <c r="M958" t="s">
        <v>20</v>
      </c>
      <c r="N958">
        <f>YEAR(Table1[[#This Row],[Date]])</f>
        <v>2023</v>
      </c>
      <c r="O958" t="str">
        <f>TEXT(Table1[[#This Row],[Date]],"mmm")</f>
        <v>Jul</v>
      </c>
      <c r="P958" t="str">
        <f>IF(Table1[[#This Row],[Total_Cost]]&lt;25,"low",IF(Table1[[#This Row],[Total_Cost]]&lt;60,"medium","high"))</f>
        <v>medium</v>
      </c>
      <c r="Q958" t="str">
        <f>IF(Table1[[#This Row],[Discount_Applied]]=TRUE,"discount applied","no discount")</f>
        <v>discount applied</v>
      </c>
    </row>
    <row r="959" spans="1:17" x14ac:dyDescent="0.3">
      <c r="A959">
        <v>1000000957</v>
      </c>
      <c r="B959" s="1">
        <v>44347.104108796295</v>
      </c>
      <c r="C959" t="s">
        <v>1833</v>
      </c>
      <c r="D959" t="s">
        <v>1834</v>
      </c>
      <c r="E959">
        <v>7</v>
      </c>
      <c r="F959">
        <v>7.55</v>
      </c>
      <c r="G959" t="s">
        <v>23</v>
      </c>
      <c r="H959" t="s">
        <v>70</v>
      </c>
      <c r="I959" t="s">
        <v>17</v>
      </c>
      <c r="J959" t="b">
        <v>1</v>
      </c>
      <c r="K959" t="s">
        <v>87</v>
      </c>
      <c r="L959" t="s">
        <v>27</v>
      </c>
      <c r="M959" t="s">
        <v>20</v>
      </c>
      <c r="N959">
        <f>YEAR(Table1[[#This Row],[Date]])</f>
        <v>2021</v>
      </c>
      <c r="O959" t="str">
        <f>TEXT(Table1[[#This Row],[Date]],"mmm")</f>
        <v>May</v>
      </c>
      <c r="P959" t="str">
        <f>IF(Table1[[#This Row],[Total_Cost]]&lt;25,"low",IF(Table1[[#This Row],[Total_Cost]]&lt;60,"medium","high"))</f>
        <v>low</v>
      </c>
      <c r="Q959" t="str">
        <f>IF(Table1[[#This Row],[Discount_Applied]]=TRUE,"discount applied","no discount")</f>
        <v>discount applied</v>
      </c>
    </row>
    <row r="960" spans="1:17" x14ac:dyDescent="0.3">
      <c r="A960">
        <v>1000000958</v>
      </c>
      <c r="B960" s="1">
        <v>44617.531423611108</v>
      </c>
      <c r="C960" t="s">
        <v>1835</v>
      </c>
      <c r="D960" t="s">
        <v>1026</v>
      </c>
      <c r="E960">
        <v>6</v>
      </c>
      <c r="F960">
        <v>8.02</v>
      </c>
      <c r="G960" t="s">
        <v>41</v>
      </c>
      <c r="H960" t="s">
        <v>36</v>
      </c>
      <c r="I960" t="s">
        <v>59</v>
      </c>
      <c r="J960" t="b">
        <v>0</v>
      </c>
      <c r="K960" t="s">
        <v>62</v>
      </c>
      <c r="L960" t="s">
        <v>52</v>
      </c>
      <c r="M960" t="s">
        <v>20</v>
      </c>
      <c r="N960">
        <f>YEAR(Table1[[#This Row],[Date]])</f>
        <v>2022</v>
      </c>
      <c r="O960" t="str">
        <f>TEXT(Table1[[#This Row],[Date]],"mmm")</f>
        <v>Feb</v>
      </c>
      <c r="P960" t="str">
        <f>IF(Table1[[#This Row],[Total_Cost]]&lt;25,"low",IF(Table1[[#This Row],[Total_Cost]]&lt;60,"medium","high"))</f>
        <v>low</v>
      </c>
      <c r="Q960" t="str">
        <f>IF(Table1[[#This Row],[Discount_Applied]]=TRUE,"discount applied","no discount")</f>
        <v>no discount</v>
      </c>
    </row>
    <row r="961" spans="1:17" x14ac:dyDescent="0.3">
      <c r="A961">
        <v>1000000959</v>
      </c>
      <c r="B961" s="1">
        <v>45349.799814814818</v>
      </c>
      <c r="C961" t="s">
        <v>1836</v>
      </c>
      <c r="D961" t="s">
        <v>1837</v>
      </c>
      <c r="E961">
        <v>7</v>
      </c>
      <c r="F961">
        <v>85.76</v>
      </c>
      <c r="G961" t="s">
        <v>31</v>
      </c>
      <c r="H961" t="s">
        <v>32</v>
      </c>
      <c r="I961" t="s">
        <v>59</v>
      </c>
      <c r="J961" t="b">
        <v>0</v>
      </c>
      <c r="K961" t="s">
        <v>51</v>
      </c>
      <c r="L961" t="s">
        <v>52</v>
      </c>
      <c r="M961" t="s">
        <v>20</v>
      </c>
      <c r="N961">
        <f>YEAR(Table1[[#This Row],[Date]])</f>
        <v>2024</v>
      </c>
      <c r="O961" t="str">
        <f>TEXT(Table1[[#This Row],[Date]],"mmm")</f>
        <v>Feb</v>
      </c>
      <c r="P961" t="str">
        <f>IF(Table1[[#This Row],[Total_Cost]]&lt;25,"low",IF(Table1[[#This Row],[Total_Cost]]&lt;60,"medium","high"))</f>
        <v>high</v>
      </c>
      <c r="Q961" t="str">
        <f>IF(Table1[[#This Row],[Discount_Applied]]=TRUE,"discount applied","no discount")</f>
        <v>no discount</v>
      </c>
    </row>
    <row r="962" spans="1:17" x14ac:dyDescent="0.3">
      <c r="A962">
        <v>1000000960</v>
      </c>
      <c r="B962" s="1">
        <v>45173.366863425923</v>
      </c>
      <c r="C962" t="s">
        <v>1838</v>
      </c>
      <c r="D962" t="s">
        <v>1839</v>
      </c>
      <c r="E962">
        <v>5</v>
      </c>
      <c r="F962">
        <v>32.94</v>
      </c>
      <c r="G962" t="s">
        <v>41</v>
      </c>
      <c r="H962" t="s">
        <v>16</v>
      </c>
      <c r="I962" t="s">
        <v>59</v>
      </c>
      <c r="J962" t="b">
        <v>0</v>
      </c>
      <c r="K962" t="s">
        <v>26</v>
      </c>
      <c r="L962" t="s">
        <v>19</v>
      </c>
      <c r="M962" t="s">
        <v>28</v>
      </c>
      <c r="N962">
        <f>YEAR(Table1[[#This Row],[Date]])</f>
        <v>2023</v>
      </c>
      <c r="O962" t="str">
        <f>TEXT(Table1[[#This Row],[Date]],"mmm")</f>
        <v>Sep</v>
      </c>
      <c r="P962" t="str">
        <f>IF(Table1[[#This Row],[Total_Cost]]&lt;25,"low",IF(Table1[[#This Row],[Total_Cost]]&lt;60,"medium","high"))</f>
        <v>medium</v>
      </c>
      <c r="Q962" t="str">
        <f>IF(Table1[[#This Row],[Discount_Applied]]=TRUE,"discount applied","no discount")</f>
        <v>no discount</v>
      </c>
    </row>
    <row r="963" spans="1:17" x14ac:dyDescent="0.3">
      <c r="A963">
        <v>1000000961</v>
      </c>
      <c r="B963" s="1">
        <v>44857.797685185185</v>
      </c>
      <c r="C963" t="s">
        <v>1840</v>
      </c>
      <c r="D963" t="s">
        <v>1841</v>
      </c>
      <c r="E963">
        <v>3</v>
      </c>
      <c r="F963">
        <v>71.83</v>
      </c>
      <c r="G963" t="s">
        <v>31</v>
      </c>
      <c r="H963" t="s">
        <v>32</v>
      </c>
      <c r="I963" t="s">
        <v>59</v>
      </c>
      <c r="J963" t="b">
        <v>0</v>
      </c>
      <c r="K963" t="s">
        <v>18</v>
      </c>
      <c r="L963" t="s">
        <v>27</v>
      </c>
      <c r="M963" t="s">
        <v>20</v>
      </c>
      <c r="N963">
        <f>YEAR(Table1[[#This Row],[Date]])</f>
        <v>2022</v>
      </c>
      <c r="O963" t="str">
        <f>TEXT(Table1[[#This Row],[Date]],"mmm")</f>
        <v>Oct</v>
      </c>
      <c r="P963" t="str">
        <f>IF(Table1[[#This Row],[Total_Cost]]&lt;25,"low",IF(Table1[[#This Row],[Total_Cost]]&lt;60,"medium","high"))</f>
        <v>high</v>
      </c>
      <c r="Q963" t="str">
        <f>IF(Table1[[#This Row],[Discount_Applied]]=TRUE,"discount applied","no discount")</f>
        <v>no discount</v>
      </c>
    </row>
    <row r="964" spans="1:17" x14ac:dyDescent="0.3">
      <c r="A964">
        <v>1000000962</v>
      </c>
      <c r="B964" s="1">
        <v>44376.510868055557</v>
      </c>
      <c r="C964" t="s">
        <v>1842</v>
      </c>
      <c r="D964" t="s">
        <v>1843</v>
      </c>
      <c r="E964">
        <v>6</v>
      </c>
      <c r="F964">
        <v>98.51</v>
      </c>
      <c r="G964" t="s">
        <v>15</v>
      </c>
      <c r="H964" t="s">
        <v>24</v>
      </c>
      <c r="I964" t="s">
        <v>59</v>
      </c>
      <c r="J964" t="b">
        <v>1</v>
      </c>
      <c r="K964" t="s">
        <v>42</v>
      </c>
      <c r="L964" t="s">
        <v>38</v>
      </c>
      <c r="M964" t="s">
        <v>43</v>
      </c>
      <c r="N964">
        <f>YEAR(Table1[[#This Row],[Date]])</f>
        <v>2021</v>
      </c>
      <c r="O964" t="str">
        <f>TEXT(Table1[[#This Row],[Date]],"mmm")</f>
        <v>Jun</v>
      </c>
      <c r="P964" t="str">
        <f>IF(Table1[[#This Row],[Total_Cost]]&lt;25,"low",IF(Table1[[#This Row],[Total_Cost]]&lt;60,"medium","high"))</f>
        <v>high</v>
      </c>
      <c r="Q964" t="str">
        <f>IF(Table1[[#This Row],[Discount_Applied]]=TRUE,"discount applied","no discount")</f>
        <v>discount applied</v>
      </c>
    </row>
    <row r="965" spans="1:17" x14ac:dyDescent="0.3">
      <c r="A965">
        <v>1000000963</v>
      </c>
      <c r="B965" s="1">
        <v>44347.662962962961</v>
      </c>
      <c r="C965" t="s">
        <v>1844</v>
      </c>
      <c r="D965" t="s">
        <v>1845</v>
      </c>
      <c r="E965">
        <v>6</v>
      </c>
      <c r="F965">
        <v>22.06</v>
      </c>
      <c r="G965" t="s">
        <v>31</v>
      </c>
      <c r="H965" t="s">
        <v>24</v>
      </c>
      <c r="I965" t="s">
        <v>33</v>
      </c>
      <c r="J965" t="b">
        <v>0</v>
      </c>
      <c r="K965" t="s">
        <v>18</v>
      </c>
      <c r="L965" t="s">
        <v>38</v>
      </c>
      <c r="M965" t="s">
        <v>28</v>
      </c>
      <c r="N965">
        <f>YEAR(Table1[[#This Row],[Date]])</f>
        <v>2021</v>
      </c>
      <c r="O965" t="str">
        <f>TEXT(Table1[[#This Row],[Date]],"mmm")</f>
        <v>May</v>
      </c>
      <c r="P965" t="str">
        <f>IF(Table1[[#This Row],[Total_Cost]]&lt;25,"low",IF(Table1[[#This Row],[Total_Cost]]&lt;60,"medium","high"))</f>
        <v>low</v>
      </c>
      <c r="Q965" t="str">
        <f>IF(Table1[[#This Row],[Discount_Applied]]=TRUE,"discount applied","no discount")</f>
        <v>no discount</v>
      </c>
    </row>
    <row r="966" spans="1:17" x14ac:dyDescent="0.3">
      <c r="A966">
        <v>1000000964</v>
      </c>
      <c r="B966" s="1">
        <v>44932.145474537036</v>
      </c>
      <c r="C966" t="s">
        <v>1846</v>
      </c>
      <c r="D966" t="s">
        <v>1847</v>
      </c>
      <c r="E966">
        <v>6</v>
      </c>
      <c r="F966">
        <v>47.66</v>
      </c>
      <c r="G966" t="s">
        <v>31</v>
      </c>
      <c r="H966" t="s">
        <v>16</v>
      </c>
      <c r="I966" t="s">
        <v>25</v>
      </c>
      <c r="J966" t="b">
        <v>1</v>
      </c>
      <c r="K966" t="s">
        <v>47</v>
      </c>
      <c r="L966" t="s">
        <v>52</v>
      </c>
      <c r="M966" t="s">
        <v>43</v>
      </c>
      <c r="N966">
        <f>YEAR(Table1[[#This Row],[Date]])</f>
        <v>2023</v>
      </c>
      <c r="O966" t="str">
        <f>TEXT(Table1[[#This Row],[Date]],"mmm")</f>
        <v>Jan</v>
      </c>
      <c r="P966" t="str">
        <f>IF(Table1[[#This Row],[Total_Cost]]&lt;25,"low",IF(Table1[[#This Row],[Total_Cost]]&lt;60,"medium","high"))</f>
        <v>medium</v>
      </c>
      <c r="Q966" t="str">
        <f>IF(Table1[[#This Row],[Discount_Applied]]=TRUE,"discount applied","no discount")</f>
        <v>discount applied</v>
      </c>
    </row>
    <row r="967" spans="1:17" x14ac:dyDescent="0.3">
      <c r="A967">
        <v>1000000965</v>
      </c>
      <c r="B967" s="1">
        <v>43912.814733796295</v>
      </c>
      <c r="C967" t="s">
        <v>1848</v>
      </c>
      <c r="D967" t="s">
        <v>1849</v>
      </c>
      <c r="E967">
        <v>2</v>
      </c>
      <c r="F967">
        <v>10.039999999999999</v>
      </c>
      <c r="G967" t="s">
        <v>15</v>
      </c>
      <c r="H967" t="s">
        <v>96</v>
      </c>
      <c r="I967" t="s">
        <v>17</v>
      </c>
      <c r="J967" t="b">
        <v>0</v>
      </c>
      <c r="K967" t="s">
        <v>87</v>
      </c>
      <c r="L967" t="s">
        <v>38</v>
      </c>
      <c r="M967" t="s">
        <v>43</v>
      </c>
      <c r="N967">
        <f>YEAR(Table1[[#This Row],[Date]])</f>
        <v>2020</v>
      </c>
      <c r="O967" t="str">
        <f>TEXT(Table1[[#This Row],[Date]],"mmm")</f>
        <v>Mar</v>
      </c>
      <c r="P967" t="str">
        <f>IF(Table1[[#This Row],[Total_Cost]]&lt;25,"low",IF(Table1[[#This Row],[Total_Cost]]&lt;60,"medium","high"))</f>
        <v>low</v>
      </c>
      <c r="Q967" t="str">
        <f>IF(Table1[[#This Row],[Discount_Applied]]=TRUE,"discount applied","no discount")</f>
        <v>no discount</v>
      </c>
    </row>
    <row r="968" spans="1:17" x14ac:dyDescent="0.3">
      <c r="A968">
        <v>1000000966</v>
      </c>
      <c r="B968" s="1">
        <v>44672.686099537037</v>
      </c>
      <c r="C968" t="s">
        <v>1850</v>
      </c>
      <c r="D968" t="s">
        <v>1851</v>
      </c>
      <c r="E968">
        <v>7</v>
      </c>
      <c r="F968">
        <v>65.680000000000007</v>
      </c>
      <c r="G968" t="s">
        <v>41</v>
      </c>
      <c r="H968" t="s">
        <v>16</v>
      </c>
      <c r="I968" t="s">
        <v>59</v>
      </c>
      <c r="J968" t="b">
        <v>1</v>
      </c>
      <c r="K968" t="s">
        <v>80</v>
      </c>
      <c r="L968" t="s">
        <v>19</v>
      </c>
      <c r="M968" t="s">
        <v>20</v>
      </c>
      <c r="N968">
        <f>YEAR(Table1[[#This Row],[Date]])</f>
        <v>2022</v>
      </c>
      <c r="O968" t="str">
        <f>TEXT(Table1[[#This Row],[Date]],"mmm")</f>
        <v>Apr</v>
      </c>
      <c r="P968" t="str">
        <f>IF(Table1[[#This Row],[Total_Cost]]&lt;25,"low",IF(Table1[[#This Row],[Total_Cost]]&lt;60,"medium","high"))</f>
        <v>high</v>
      </c>
      <c r="Q968" t="str">
        <f>IF(Table1[[#This Row],[Discount_Applied]]=TRUE,"discount applied","no discount")</f>
        <v>discount applied</v>
      </c>
    </row>
    <row r="969" spans="1:17" x14ac:dyDescent="0.3">
      <c r="A969">
        <v>1000000967</v>
      </c>
      <c r="B969" s="1">
        <v>45021.62122685185</v>
      </c>
      <c r="C969" t="s">
        <v>1852</v>
      </c>
      <c r="D969" t="s">
        <v>1853</v>
      </c>
      <c r="E969">
        <v>8</v>
      </c>
      <c r="F969">
        <v>82.8</v>
      </c>
      <c r="G969" t="s">
        <v>31</v>
      </c>
      <c r="H969" t="s">
        <v>129</v>
      </c>
      <c r="I969" t="s">
        <v>46</v>
      </c>
      <c r="J969" t="b">
        <v>0</v>
      </c>
      <c r="K969" t="s">
        <v>18</v>
      </c>
      <c r="L969" t="s">
        <v>19</v>
      </c>
      <c r="M969" t="s">
        <v>20</v>
      </c>
      <c r="N969">
        <f>YEAR(Table1[[#This Row],[Date]])</f>
        <v>2023</v>
      </c>
      <c r="O969" t="str">
        <f>TEXT(Table1[[#This Row],[Date]],"mmm")</f>
        <v>Apr</v>
      </c>
      <c r="P969" t="str">
        <f>IF(Table1[[#This Row],[Total_Cost]]&lt;25,"low",IF(Table1[[#This Row],[Total_Cost]]&lt;60,"medium","high"))</f>
        <v>high</v>
      </c>
      <c r="Q969" t="str">
        <f>IF(Table1[[#This Row],[Discount_Applied]]=TRUE,"discount applied","no discount")</f>
        <v>no discount</v>
      </c>
    </row>
    <row r="970" spans="1:17" x14ac:dyDescent="0.3">
      <c r="A970">
        <v>1000000968</v>
      </c>
      <c r="B970" s="1">
        <v>45127.492430555554</v>
      </c>
      <c r="C970" t="s">
        <v>1854</v>
      </c>
      <c r="D970" t="s">
        <v>593</v>
      </c>
      <c r="E970">
        <v>10</v>
      </c>
      <c r="F970">
        <v>68.510000000000005</v>
      </c>
      <c r="G970" t="s">
        <v>31</v>
      </c>
      <c r="H970" t="s">
        <v>70</v>
      </c>
      <c r="I970" t="s">
        <v>59</v>
      </c>
      <c r="J970" t="b">
        <v>0</v>
      </c>
      <c r="K970" t="s">
        <v>42</v>
      </c>
      <c r="L970" t="s">
        <v>52</v>
      </c>
      <c r="M970" t="s">
        <v>20</v>
      </c>
      <c r="N970">
        <f>YEAR(Table1[[#This Row],[Date]])</f>
        <v>2023</v>
      </c>
      <c r="O970" t="str">
        <f>TEXT(Table1[[#This Row],[Date]],"mmm")</f>
        <v>Jul</v>
      </c>
      <c r="P970" t="str">
        <f>IF(Table1[[#This Row],[Total_Cost]]&lt;25,"low",IF(Table1[[#This Row],[Total_Cost]]&lt;60,"medium","high"))</f>
        <v>high</v>
      </c>
      <c r="Q970" t="str">
        <f>IF(Table1[[#This Row],[Discount_Applied]]=TRUE,"discount applied","no discount")</f>
        <v>no discount</v>
      </c>
    </row>
    <row r="971" spans="1:17" x14ac:dyDescent="0.3">
      <c r="A971">
        <v>1000000969</v>
      </c>
      <c r="B971" s="1">
        <v>43987.093622685185</v>
      </c>
      <c r="C971" t="s">
        <v>682</v>
      </c>
      <c r="D971" t="s">
        <v>1855</v>
      </c>
      <c r="E971">
        <v>4</v>
      </c>
      <c r="F971">
        <v>73.349999999999994</v>
      </c>
      <c r="G971" t="s">
        <v>41</v>
      </c>
      <c r="H971" t="s">
        <v>129</v>
      </c>
      <c r="I971" t="s">
        <v>59</v>
      </c>
      <c r="J971" t="b">
        <v>0</v>
      </c>
      <c r="K971" t="s">
        <v>62</v>
      </c>
      <c r="L971" t="s">
        <v>19</v>
      </c>
      <c r="M971" t="s">
        <v>43</v>
      </c>
      <c r="N971">
        <f>YEAR(Table1[[#This Row],[Date]])</f>
        <v>2020</v>
      </c>
      <c r="O971" t="str">
        <f>TEXT(Table1[[#This Row],[Date]],"mmm")</f>
        <v>Jun</v>
      </c>
      <c r="P971" t="str">
        <f>IF(Table1[[#This Row],[Total_Cost]]&lt;25,"low",IF(Table1[[#This Row],[Total_Cost]]&lt;60,"medium","high"))</f>
        <v>high</v>
      </c>
      <c r="Q971" t="str">
        <f>IF(Table1[[#This Row],[Discount_Applied]]=TRUE,"discount applied","no discount")</f>
        <v>no discount</v>
      </c>
    </row>
    <row r="972" spans="1:17" x14ac:dyDescent="0.3">
      <c r="A972">
        <v>1000000970</v>
      </c>
      <c r="B972" s="1">
        <v>44161.70076388889</v>
      </c>
      <c r="C972" t="s">
        <v>1856</v>
      </c>
      <c r="D972" t="s">
        <v>487</v>
      </c>
      <c r="E972">
        <v>2</v>
      </c>
      <c r="F972">
        <v>13.74</v>
      </c>
      <c r="G972" t="s">
        <v>15</v>
      </c>
      <c r="H972" t="s">
        <v>16</v>
      </c>
      <c r="I972" t="s">
        <v>37</v>
      </c>
      <c r="J972" t="b">
        <v>1</v>
      </c>
      <c r="K972" t="s">
        <v>51</v>
      </c>
      <c r="L972" t="s">
        <v>38</v>
      </c>
      <c r="M972" t="s">
        <v>28</v>
      </c>
      <c r="N972">
        <f>YEAR(Table1[[#This Row],[Date]])</f>
        <v>2020</v>
      </c>
      <c r="O972" t="str">
        <f>TEXT(Table1[[#This Row],[Date]],"mmm")</f>
        <v>Nov</v>
      </c>
      <c r="P972" t="str">
        <f>IF(Table1[[#This Row],[Total_Cost]]&lt;25,"low",IF(Table1[[#This Row],[Total_Cost]]&lt;60,"medium","high"))</f>
        <v>low</v>
      </c>
      <c r="Q972" t="str">
        <f>IF(Table1[[#This Row],[Discount_Applied]]=TRUE,"discount applied","no discount")</f>
        <v>discount applied</v>
      </c>
    </row>
    <row r="973" spans="1:17" x14ac:dyDescent="0.3">
      <c r="A973">
        <v>1000000971</v>
      </c>
      <c r="B973" s="1">
        <v>44020.70275462963</v>
      </c>
      <c r="C973" t="s">
        <v>1857</v>
      </c>
      <c r="D973" t="s">
        <v>1858</v>
      </c>
      <c r="E973">
        <v>1</v>
      </c>
      <c r="F973">
        <v>39.47</v>
      </c>
      <c r="G973" t="s">
        <v>31</v>
      </c>
      <c r="H973" t="s">
        <v>129</v>
      </c>
      <c r="I973" t="s">
        <v>59</v>
      </c>
      <c r="J973" t="b">
        <v>0</v>
      </c>
      <c r="K973" t="s">
        <v>26</v>
      </c>
      <c r="L973" t="s">
        <v>38</v>
      </c>
      <c r="M973" t="s">
        <v>28</v>
      </c>
      <c r="N973">
        <f>YEAR(Table1[[#This Row],[Date]])</f>
        <v>2020</v>
      </c>
      <c r="O973" t="str">
        <f>TEXT(Table1[[#This Row],[Date]],"mmm")</f>
        <v>Jul</v>
      </c>
      <c r="P973" t="str">
        <f>IF(Table1[[#This Row],[Total_Cost]]&lt;25,"low",IF(Table1[[#This Row],[Total_Cost]]&lt;60,"medium","high"))</f>
        <v>medium</v>
      </c>
      <c r="Q973" t="str">
        <f>IF(Table1[[#This Row],[Discount_Applied]]=TRUE,"discount applied","no discount")</f>
        <v>no discount</v>
      </c>
    </row>
    <row r="974" spans="1:17" x14ac:dyDescent="0.3">
      <c r="A974">
        <v>1000000972</v>
      </c>
      <c r="B974" s="1">
        <v>44742.799155092594</v>
      </c>
      <c r="C974" t="s">
        <v>1859</v>
      </c>
      <c r="D974" t="s">
        <v>1860</v>
      </c>
      <c r="E974">
        <v>8</v>
      </c>
      <c r="F974">
        <v>15.12</v>
      </c>
      <c r="G974" t="s">
        <v>41</v>
      </c>
      <c r="H974" t="s">
        <v>32</v>
      </c>
      <c r="I974" t="s">
        <v>25</v>
      </c>
      <c r="J974" t="b">
        <v>1</v>
      </c>
      <c r="K974" t="s">
        <v>47</v>
      </c>
      <c r="L974" t="s">
        <v>38</v>
      </c>
      <c r="M974" t="s">
        <v>20</v>
      </c>
      <c r="N974">
        <f>YEAR(Table1[[#This Row],[Date]])</f>
        <v>2022</v>
      </c>
      <c r="O974" t="str">
        <f>TEXT(Table1[[#This Row],[Date]],"mmm")</f>
        <v>Jun</v>
      </c>
      <c r="P974" t="str">
        <f>IF(Table1[[#This Row],[Total_Cost]]&lt;25,"low",IF(Table1[[#This Row],[Total_Cost]]&lt;60,"medium","high"))</f>
        <v>low</v>
      </c>
      <c r="Q974" t="str">
        <f>IF(Table1[[#This Row],[Discount_Applied]]=TRUE,"discount applied","no discount")</f>
        <v>discount applied</v>
      </c>
    </row>
    <row r="975" spans="1:17" x14ac:dyDescent="0.3">
      <c r="A975">
        <v>1000000973</v>
      </c>
      <c r="B975" s="1">
        <v>43875.586539351854</v>
      </c>
      <c r="C975" t="s">
        <v>1861</v>
      </c>
      <c r="D975" t="s">
        <v>1862</v>
      </c>
      <c r="E975">
        <v>8</v>
      </c>
      <c r="F975">
        <v>97.75</v>
      </c>
      <c r="G975" t="s">
        <v>23</v>
      </c>
      <c r="H975" t="s">
        <v>77</v>
      </c>
      <c r="I975" t="s">
        <v>37</v>
      </c>
      <c r="J975" t="b">
        <v>0</v>
      </c>
      <c r="K975" t="s">
        <v>42</v>
      </c>
      <c r="L975" t="s">
        <v>27</v>
      </c>
      <c r="M975" t="s">
        <v>43</v>
      </c>
      <c r="N975">
        <f>YEAR(Table1[[#This Row],[Date]])</f>
        <v>2020</v>
      </c>
      <c r="O975" t="str">
        <f>TEXT(Table1[[#This Row],[Date]],"mmm")</f>
        <v>Feb</v>
      </c>
      <c r="P975" t="str">
        <f>IF(Table1[[#This Row],[Total_Cost]]&lt;25,"low",IF(Table1[[#This Row],[Total_Cost]]&lt;60,"medium","high"))</f>
        <v>high</v>
      </c>
      <c r="Q975" t="str">
        <f>IF(Table1[[#This Row],[Discount_Applied]]=TRUE,"discount applied","no discount")</f>
        <v>no discount</v>
      </c>
    </row>
    <row r="976" spans="1:17" x14ac:dyDescent="0.3">
      <c r="A976">
        <v>1000000974</v>
      </c>
      <c r="B976" s="1">
        <v>45215.815717592595</v>
      </c>
      <c r="C976" t="s">
        <v>1863</v>
      </c>
      <c r="D976" t="s">
        <v>151</v>
      </c>
      <c r="E976">
        <v>9</v>
      </c>
      <c r="F976">
        <v>42.6</v>
      </c>
      <c r="G976" t="s">
        <v>15</v>
      </c>
      <c r="H976" t="s">
        <v>77</v>
      </c>
      <c r="I976" t="s">
        <v>37</v>
      </c>
      <c r="J976" t="b">
        <v>1</v>
      </c>
      <c r="K976" t="s">
        <v>26</v>
      </c>
      <c r="L976" t="s">
        <v>52</v>
      </c>
      <c r="M976" t="s">
        <v>28</v>
      </c>
      <c r="N976">
        <f>YEAR(Table1[[#This Row],[Date]])</f>
        <v>2023</v>
      </c>
      <c r="O976" t="str">
        <f>TEXT(Table1[[#This Row],[Date]],"mmm")</f>
        <v>Oct</v>
      </c>
      <c r="P976" t="str">
        <f>IF(Table1[[#This Row],[Total_Cost]]&lt;25,"low",IF(Table1[[#This Row],[Total_Cost]]&lt;60,"medium","high"))</f>
        <v>medium</v>
      </c>
      <c r="Q976" t="str">
        <f>IF(Table1[[#This Row],[Discount_Applied]]=TRUE,"discount applied","no discount")</f>
        <v>discount applied</v>
      </c>
    </row>
    <row r="977" spans="1:17" x14ac:dyDescent="0.3">
      <c r="A977">
        <v>1000000975</v>
      </c>
      <c r="B977" s="1">
        <v>44789.299641203703</v>
      </c>
      <c r="C977" t="s">
        <v>1864</v>
      </c>
      <c r="D977" t="s">
        <v>1865</v>
      </c>
      <c r="E977">
        <v>4</v>
      </c>
      <c r="F977">
        <v>73.27</v>
      </c>
      <c r="G977" t="s">
        <v>41</v>
      </c>
      <c r="H977" t="s">
        <v>70</v>
      </c>
      <c r="I977" t="s">
        <v>37</v>
      </c>
      <c r="J977" t="b">
        <v>0</v>
      </c>
      <c r="K977" t="s">
        <v>80</v>
      </c>
      <c r="L977" t="s">
        <v>27</v>
      </c>
      <c r="M977" t="s">
        <v>20</v>
      </c>
      <c r="N977">
        <f>YEAR(Table1[[#This Row],[Date]])</f>
        <v>2022</v>
      </c>
      <c r="O977" t="str">
        <f>TEXT(Table1[[#This Row],[Date]],"mmm")</f>
        <v>Aug</v>
      </c>
      <c r="P977" t="str">
        <f>IF(Table1[[#This Row],[Total_Cost]]&lt;25,"low",IF(Table1[[#This Row],[Total_Cost]]&lt;60,"medium","high"))</f>
        <v>high</v>
      </c>
      <c r="Q977" t="str">
        <f>IF(Table1[[#This Row],[Discount_Applied]]=TRUE,"discount applied","no discount")</f>
        <v>no discount</v>
      </c>
    </row>
    <row r="978" spans="1:17" x14ac:dyDescent="0.3">
      <c r="A978">
        <v>1000000976</v>
      </c>
      <c r="B978" s="1">
        <v>44186.894745370373</v>
      </c>
      <c r="C978" t="s">
        <v>1866</v>
      </c>
      <c r="D978" t="s">
        <v>1867</v>
      </c>
      <c r="E978">
        <v>5</v>
      </c>
      <c r="F978">
        <v>49.34</v>
      </c>
      <c r="G978" t="s">
        <v>23</v>
      </c>
      <c r="H978" t="s">
        <v>24</v>
      </c>
      <c r="I978" t="s">
        <v>33</v>
      </c>
      <c r="J978" t="b">
        <v>1</v>
      </c>
      <c r="K978" t="s">
        <v>42</v>
      </c>
      <c r="L978" t="s">
        <v>38</v>
      </c>
      <c r="M978" t="s">
        <v>43</v>
      </c>
      <c r="N978">
        <f>YEAR(Table1[[#This Row],[Date]])</f>
        <v>2020</v>
      </c>
      <c r="O978" t="str">
        <f>TEXT(Table1[[#This Row],[Date]],"mmm")</f>
        <v>Dec</v>
      </c>
      <c r="P978" t="str">
        <f>IF(Table1[[#This Row],[Total_Cost]]&lt;25,"low",IF(Table1[[#This Row],[Total_Cost]]&lt;60,"medium","high"))</f>
        <v>medium</v>
      </c>
      <c r="Q978" t="str">
        <f>IF(Table1[[#This Row],[Discount_Applied]]=TRUE,"discount applied","no discount")</f>
        <v>discount applied</v>
      </c>
    </row>
    <row r="979" spans="1:17" x14ac:dyDescent="0.3">
      <c r="A979">
        <v>1000000977</v>
      </c>
      <c r="B979" s="1">
        <v>44944.838229166664</v>
      </c>
      <c r="C979" t="s">
        <v>1868</v>
      </c>
      <c r="D979" t="s">
        <v>1869</v>
      </c>
      <c r="E979">
        <v>4</v>
      </c>
      <c r="F979">
        <v>35.75</v>
      </c>
      <c r="G979" t="s">
        <v>31</v>
      </c>
      <c r="H979" t="s">
        <v>36</v>
      </c>
      <c r="I979" t="s">
        <v>25</v>
      </c>
      <c r="J979" t="b">
        <v>0</v>
      </c>
      <c r="K979" t="s">
        <v>26</v>
      </c>
      <c r="L979" t="s">
        <v>27</v>
      </c>
      <c r="M979" t="s">
        <v>28</v>
      </c>
      <c r="N979">
        <f>YEAR(Table1[[#This Row],[Date]])</f>
        <v>2023</v>
      </c>
      <c r="O979" t="str">
        <f>TEXT(Table1[[#This Row],[Date]],"mmm")</f>
        <v>Jan</v>
      </c>
      <c r="P979" t="str">
        <f>IF(Table1[[#This Row],[Total_Cost]]&lt;25,"low",IF(Table1[[#This Row],[Total_Cost]]&lt;60,"medium","high"))</f>
        <v>medium</v>
      </c>
      <c r="Q979" t="str">
        <f>IF(Table1[[#This Row],[Discount_Applied]]=TRUE,"discount applied","no discount")</f>
        <v>no discount</v>
      </c>
    </row>
    <row r="980" spans="1:17" x14ac:dyDescent="0.3">
      <c r="A980">
        <v>1000000978</v>
      </c>
      <c r="B980" s="1">
        <v>45070.094768518517</v>
      </c>
      <c r="C980" t="s">
        <v>1870</v>
      </c>
      <c r="D980" t="s">
        <v>1871</v>
      </c>
      <c r="E980">
        <v>6</v>
      </c>
      <c r="F980">
        <v>90.14</v>
      </c>
      <c r="G980" t="s">
        <v>15</v>
      </c>
      <c r="H980" t="s">
        <v>50</v>
      </c>
      <c r="I980" t="s">
        <v>59</v>
      </c>
      <c r="J980" t="b">
        <v>1</v>
      </c>
      <c r="K980" t="s">
        <v>47</v>
      </c>
      <c r="L980" t="s">
        <v>52</v>
      </c>
      <c r="M980" t="s">
        <v>20</v>
      </c>
      <c r="N980">
        <f>YEAR(Table1[[#This Row],[Date]])</f>
        <v>2023</v>
      </c>
      <c r="O980" t="str">
        <f>TEXT(Table1[[#This Row],[Date]],"mmm")</f>
        <v>May</v>
      </c>
      <c r="P980" t="str">
        <f>IF(Table1[[#This Row],[Total_Cost]]&lt;25,"low",IF(Table1[[#This Row],[Total_Cost]]&lt;60,"medium","high"))</f>
        <v>high</v>
      </c>
      <c r="Q980" t="str">
        <f>IF(Table1[[#This Row],[Discount_Applied]]=TRUE,"discount applied","no discount")</f>
        <v>discount applied</v>
      </c>
    </row>
    <row r="981" spans="1:17" x14ac:dyDescent="0.3">
      <c r="A981">
        <v>1000000979</v>
      </c>
      <c r="B981" s="1">
        <v>45408.140081018515</v>
      </c>
      <c r="C981" t="s">
        <v>1872</v>
      </c>
      <c r="D981" t="s">
        <v>1873</v>
      </c>
      <c r="E981">
        <v>3</v>
      </c>
      <c r="F981">
        <v>35.24</v>
      </c>
      <c r="G981" t="s">
        <v>41</v>
      </c>
      <c r="H981" t="s">
        <v>96</v>
      </c>
      <c r="I981" t="s">
        <v>37</v>
      </c>
      <c r="J981" t="b">
        <v>0</v>
      </c>
      <c r="K981" t="s">
        <v>42</v>
      </c>
      <c r="L981" t="s">
        <v>38</v>
      </c>
      <c r="M981" t="s">
        <v>28</v>
      </c>
      <c r="N981">
        <f>YEAR(Table1[[#This Row],[Date]])</f>
        <v>2024</v>
      </c>
      <c r="O981" t="str">
        <f>TEXT(Table1[[#This Row],[Date]],"mmm")</f>
        <v>Apr</v>
      </c>
      <c r="P981" t="str">
        <f>IF(Table1[[#This Row],[Total_Cost]]&lt;25,"low",IF(Table1[[#This Row],[Total_Cost]]&lt;60,"medium","high"))</f>
        <v>medium</v>
      </c>
      <c r="Q981" t="str">
        <f>IF(Table1[[#This Row],[Discount_Applied]]=TRUE,"discount applied","no discount")</f>
        <v>no discount</v>
      </c>
    </row>
    <row r="982" spans="1:17" x14ac:dyDescent="0.3">
      <c r="A982">
        <v>1000000980</v>
      </c>
      <c r="B982" s="1">
        <v>44838.082546296297</v>
      </c>
      <c r="C982" t="s">
        <v>1874</v>
      </c>
      <c r="D982" t="s">
        <v>228</v>
      </c>
      <c r="E982">
        <v>8</v>
      </c>
      <c r="F982">
        <v>87.47</v>
      </c>
      <c r="G982" t="s">
        <v>41</v>
      </c>
      <c r="H982" t="s">
        <v>16</v>
      </c>
      <c r="I982" t="s">
        <v>33</v>
      </c>
      <c r="J982" t="b">
        <v>0</v>
      </c>
      <c r="K982" t="s">
        <v>51</v>
      </c>
      <c r="L982" t="s">
        <v>19</v>
      </c>
      <c r="M982" t="s">
        <v>20</v>
      </c>
      <c r="N982">
        <f>YEAR(Table1[[#This Row],[Date]])</f>
        <v>2022</v>
      </c>
      <c r="O982" t="str">
        <f>TEXT(Table1[[#This Row],[Date]],"mmm")</f>
        <v>Oct</v>
      </c>
      <c r="P982" t="str">
        <f>IF(Table1[[#This Row],[Total_Cost]]&lt;25,"low",IF(Table1[[#This Row],[Total_Cost]]&lt;60,"medium","high"))</f>
        <v>high</v>
      </c>
      <c r="Q982" t="str">
        <f>IF(Table1[[#This Row],[Discount_Applied]]=TRUE,"discount applied","no discount")</f>
        <v>no discount</v>
      </c>
    </row>
    <row r="983" spans="1:17" x14ac:dyDescent="0.3">
      <c r="A983">
        <v>1000000981</v>
      </c>
      <c r="B983" s="1">
        <v>44082.676493055558</v>
      </c>
      <c r="C983" t="s">
        <v>1875</v>
      </c>
      <c r="D983" t="s">
        <v>304</v>
      </c>
      <c r="E983">
        <v>1</v>
      </c>
      <c r="F983">
        <v>31.39</v>
      </c>
      <c r="G983" t="s">
        <v>15</v>
      </c>
      <c r="H983" t="s">
        <v>16</v>
      </c>
      <c r="I983" t="s">
        <v>25</v>
      </c>
      <c r="J983" t="b">
        <v>0</v>
      </c>
      <c r="K983" t="s">
        <v>80</v>
      </c>
      <c r="L983" t="s">
        <v>38</v>
      </c>
      <c r="M983" t="s">
        <v>20</v>
      </c>
      <c r="N983">
        <f>YEAR(Table1[[#This Row],[Date]])</f>
        <v>2020</v>
      </c>
      <c r="O983" t="str">
        <f>TEXT(Table1[[#This Row],[Date]],"mmm")</f>
        <v>Sep</v>
      </c>
      <c r="P983" t="str">
        <f>IF(Table1[[#This Row],[Total_Cost]]&lt;25,"low",IF(Table1[[#This Row],[Total_Cost]]&lt;60,"medium","high"))</f>
        <v>medium</v>
      </c>
      <c r="Q983" t="str">
        <f>IF(Table1[[#This Row],[Discount_Applied]]=TRUE,"discount applied","no discount")</f>
        <v>no discount</v>
      </c>
    </row>
    <row r="984" spans="1:17" x14ac:dyDescent="0.3">
      <c r="A984">
        <v>1000000982</v>
      </c>
      <c r="B984" s="1">
        <v>45055.795393518521</v>
      </c>
      <c r="C984" t="s">
        <v>1876</v>
      </c>
      <c r="D984" t="s">
        <v>1379</v>
      </c>
      <c r="E984">
        <v>9</v>
      </c>
      <c r="F984">
        <v>16.420000000000002</v>
      </c>
      <c r="G984" t="s">
        <v>31</v>
      </c>
      <c r="H984" t="s">
        <v>24</v>
      </c>
      <c r="I984" t="s">
        <v>37</v>
      </c>
      <c r="J984" t="b">
        <v>1</v>
      </c>
      <c r="K984" t="s">
        <v>51</v>
      </c>
      <c r="L984" t="s">
        <v>27</v>
      </c>
      <c r="M984" t="s">
        <v>28</v>
      </c>
      <c r="N984">
        <f>YEAR(Table1[[#This Row],[Date]])</f>
        <v>2023</v>
      </c>
      <c r="O984" t="str">
        <f>TEXT(Table1[[#This Row],[Date]],"mmm")</f>
        <v>May</v>
      </c>
      <c r="P984" t="str">
        <f>IF(Table1[[#This Row],[Total_Cost]]&lt;25,"low",IF(Table1[[#This Row],[Total_Cost]]&lt;60,"medium","high"))</f>
        <v>low</v>
      </c>
      <c r="Q984" t="str">
        <f>IF(Table1[[#This Row],[Discount_Applied]]=TRUE,"discount applied","no discount")</f>
        <v>discount applied</v>
      </c>
    </row>
    <row r="985" spans="1:17" x14ac:dyDescent="0.3">
      <c r="A985">
        <v>1000000983</v>
      </c>
      <c r="B985" s="1">
        <v>44734.874594907407</v>
      </c>
      <c r="C985" t="s">
        <v>1877</v>
      </c>
      <c r="D985" t="s">
        <v>1878</v>
      </c>
      <c r="E985">
        <v>4</v>
      </c>
      <c r="F985">
        <v>35.700000000000003</v>
      </c>
      <c r="G985" t="s">
        <v>41</v>
      </c>
      <c r="H985" t="s">
        <v>24</v>
      </c>
      <c r="I985" t="s">
        <v>25</v>
      </c>
      <c r="J985" t="b">
        <v>1</v>
      </c>
      <c r="K985" t="s">
        <v>87</v>
      </c>
      <c r="L985" t="s">
        <v>19</v>
      </c>
      <c r="M985" t="s">
        <v>28</v>
      </c>
      <c r="N985">
        <f>YEAR(Table1[[#This Row],[Date]])</f>
        <v>2022</v>
      </c>
      <c r="O985" t="str">
        <f>TEXT(Table1[[#This Row],[Date]],"mmm")</f>
        <v>Jun</v>
      </c>
      <c r="P985" t="str">
        <f>IF(Table1[[#This Row],[Total_Cost]]&lt;25,"low",IF(Table1[[#This Row],[Total_Cost]]&lt;60,"medium","high"))</f>
        <v>medium</v>
      </c>
      <c r="Q985" t="str">
        <f>IF(Table1[[#This Row],[Discount_Applied]]=TRUE,"discount applied","no discount")</f>
        <v>discount applied</v>
      </c>
    </row>
    <row r="986" spans="1:17" x14ac:dyDescent="0.3">
      <c r="A986">
        <v>1000000984</v>
      </c>
      <c r="B986" s="1">
        <v>44722.565011574072</v>
      </c>
      <c r="C986" t="s">
        <v>1879</v>
      </c>
      <c r="D986" t="s">
        <v>828</v>
      </c>
      <c r="E986">
        <v>10</v>
      </c>
      <c r="F986">
        <v>22.81</v>
      </c>
      <c r="G986" t="s">
        <v>15</v>
      </c>
      <c r="H986" t="s">
        <v>24</v>
      </c>
      <c r="I986" t="s">
        <v>33</v>
      </c>
      <c r="J986" t="b">
        <v>0</v>
      </c>
      <c r="K986" t="s">
        <v>62</v>
      </c>
      <c r="L986" t="s">
        <v>19</v>
      </c>
      <c r="M986" t="s">
        <v>43</v>
      </c>
      <c r="N986">
        <f>YEAR(Table1[[#This Row],[Date]])</f>
        <v>2022</v>
      </c>
      <c r="O986" t="str">
        <f>TEXT(Table1[[#This Row],[Date]],"mmm")</f>
        <v>Jun</v>
      </c>
      <c r="P986" t="str">
        <f>IF(Table1[[#This Row],[Total_Cost]]&lt;25,"low",IF(Table1[[#This Row],[Total_Cost]]&lt;60,"medium","high"))</f>
        <v>low</v>
      </c>
      <c r="Q986" t="str">
        <f>IF(Table1[[#This Row],[Discount_Applied]]=TRUE,"discount applied","no discount")</f>
        <v>no discount</v>
      </c>
    </row>
    <row r="987" spans="1:17" x14ac:dyDescent="0.3">
      <c r="A987">
        <v>1000000985</v>
      </c>
      <c r="B987" s="1">
        <v>43885.855034722219</v>
      </c>
      <c r="C987" t="s">
        <v>1880</v>
      </c>
      <c r="D987" t="s">
        <v>1881</v>
      </c>
      <c r="E987">
        <v>1</v>
      </c>
      <c r="F987">
        <v>80.06</v>
      </c>
      <c r="G987" t="s">
        <v>23</v>
      </c>
      <c r="H987" t="s">
        <v>96</v>
      </c>
      <c r="I987" t="s">
        <v>25</v>
      </c>
      <c r="J987" t="b">
        <v>0</v>
      </c>
      <c r="K987" t="s">
        <v>42</v>
      </c>
      <c r="L987" t="s">
        <v>52</v>
      </c>
      <c r="M987" t="s">
        <v>20</v>
      </c>
      <c r="N987">
        <f>YEAR(Table1[[#This Row],[Date]])</f>
        <v>2020</v>
      </c>
      <c r="O987" t="str">
        <f>TEXT(Table1[[#This Row],[Date]],"mmm")</f>
        <v>Feb</v>
      </c>
      <c r="P987" t="str">
        <f>IF(Table1[[#This Row],[Total_Cost]]&lt;25,"low",IF(Table1[[#This Row],[Total_Cost]]&lt;60,"medium","high"))</f>
        <v>high</v>
      </c>
      <c r="Q987" t="str">
        <f>IF(Table1[[#This Row],[Discount_Applied]]=TRUE,"discount applied","no discount")</f>
        <v>no discount</v>
      </c>
    </row>
    <row r="988" spans="1:17" x14ac:dyDescent="0.3">
      <c r="A988">
        <v>1000000986</v>
      </c>
      <c r="B988" s="1">
        <v>45383.582604166666</v>
      </c>
      <c r="C988" t="s">
        <v>1882</v>
      </c>
      <c r="D988" t="s">
        <v>1883</v>
      </c>
      <c r="E988">
        <v>1</v>
      </c>
      <c r="F988">
        <v>91.37</v>
      </c>
      <c r="G988" t="s">
        <v>31</v>
      </c>
      <c r="H988" t="s">
        <v>50</v>
      </c>
      <c r="I988" t="s">
        <v>33</v>
      </c>
      <c r="J988" t="b">
        <v>1</v>
      </c>
      <c r="K988" t="s">
        <v>47</v>
      </c>
      <c r="L988" t="s">
        <v>52</v>
      </c>
      <c r="M988" t="s">
        <v>43</v>
      </c>
      <c r="N988">
        <f>YEAR(Table1[[#This Row],[Date]])</f>
        <v>2024</v>
      </c>
      <c r="O988" t="str">
        <f>TEXT(Table1[[#This Row],[Date]],"mmm")</f>
        <v>Apr</v>
      </c>
      <c r="P988" t="str">
        <f>IF(Table1[[#This Row],[Total_Cost]]&lt;25,"low",IF(Table1[[#This Row],[Total_Cost]]&lt;60,"medium","high"))</f>
        <v>high</v>
      </c>
      <c r="Q988" t="str">
        <f>IF(Table1[[#This Row],[Discount_Applied]]=TRUE,"discount applied","no discount")</f>
        <v>discount applied</v>
      </c>
    </row>
    <row r="989" spans="1:17" x14ac:dyDescent="0.3">
      <c r="A989">
        <v>1000000987</v>
      </c>
      <c r="B989" s="1">
        <v>44118.823923611111</v>
      </c>
      <c r="C989" t="s">
        <v>1884</v>
      </c>
      <c r="D989" t="s">
        <v>1885</v>
      </c>
      <c r="E989">
        <v>2</v>
      </c>
      <c r="F989">
        <v>15.24</v>
      </c>
      <c r="G989" t="s">
        <v>31</v>
      </c>
      <c r="H989" t="s">
        <v>77</v>
      </c>
      <c r="I989" t="s">
        <v>17</v>
      </c>
      <c r="J989" t="b">
        <v>0</v>
      </c>
      <c r="K989" t="s">
        <v>87</v>
      </c>
      <c r="L989" t="s">
        <v>19</v>
      </c>
      <c r="M989" t="s">
        <v>28</v>
      </c>
      <c r="N989">
        <f>YEAR(Table1[[#This Row],[Date]])</f>
        <v>2020</v>
      </c>
      <c r="O989" t="str">
        <f>TEXT(Table1[[#This Row],[Date]],"mmm")</f>
        <v>Oct</v>
      </c>
      <c r="P989" t="str">
        <f>IF(Table1[[#This Row],[Total_Cost]]&lt;25,"low",IF(Table1[[#This Row],[Total_Cost]]&lt;60,"medium","high"))</f>
        <v>low</v>
      </c>
      <c r="Q989" t="str">
        <f>IF(Table1[[#This Row],[Discount_Applied]]=TRUE,"discount applied","no discount")</f>
        <v>no discount</v>
      </c>
    </row>
    <row r="990" spans="1:17" x14ac:dyDescent="0.3">
      <c r="A990">
        <v>1000000988</v>
      </c>
      <c r="B990" s="1">
        <v>45425.794722222221</v>
      </c>
      <c r="C990" t="s">
        <v>1886</v>
      </c>
      <c r="D990" t="s">
        <v>1887</v>
      </c>
      <c r="E990">
        <v>1</v>
      </c>
      <c r="F990">
        <v>87.57</v>
      </c>
      <c r="G990" t="s">
        <v>41</v>
      </c>
      <c r="H990" t="s">
        <v>36</v>
      </c>
      <c r="I990" t="s">
        <v>46</v>
      </c>
      <c r="J990" t="b">
        <v>0</v>
      </c>
      <c r="K990" t="s">
        <v>18</v>
      </c>
      <c r="L990" t="s">
        <v>27</v>
      </c>
      <c r="M990" t="s">
        <v>43</v>
      </c>
      <c r="N990">
        <f>YEAR(Table1[[#This Row],[Date]])</f>
        <v>2024</v>
      </c>
      <c r="O990" t="str">
        <f>TEXT(Table1[[#This Row],[Date]],"mmm")</f>
        <v>May</v>
      </c>
      <c r="P990" t="str">
        <f>IF(Table1[[#This Row],[Total_Cost]]&lt;25,"low",IF(Table1[[#This Row],[Total_Cost]]&lt;60,"medium","high"))</f>
        <v>high</v>
      </c>
      <c r="Q990" t="str">
        <f>IF(Table1[[#This Row],[Discount_Applied]]=TRUE,"discount applied","no discount")</f>
        <v>no discount</v>
      </c>
    </row>
    <row r="991" spans="1:17" x14ac:dyDescent="0.3">
      <c r="A991">
        <v>1000000989</v>
      </c>
      <c r="B991" s="1">
        <v>44525.254641203705</v>
      </c>
      <c r="C991" t="s">
        <v>1888</v>
      </c>
      <c r="D991" t="s">
        <v>1889</v>
      </c>
      <c r="E991">
        <v>9</v>
      </c>
      <c r="F991">
        <v>17.11</v>
      </c>
      <c r="G991" t="s">
        <v>41</v>
      </c>
      <c r="H991" t="s">
        <v>32</v>
      </c>
      <c r="I991" t="s">
        <v>46</v>
      </c>
      <c r="J991" t="b">
        <v>0</v>
      </c>
      <c r="K991" t="s">
        <v>47</v>
      </c>
      <c r="L991" t="s">
        <v>27</v>
      </c>
      <c r="M991" t="s">
        <v>28</v>
      </c>
      <c r="N991">
        <f>YEAR(Table1[[#This Row],[Date]])</f>
        <v>2021</v>
      </c>
      <c r="O991" t="str">
        <f>TEXT(Table1[[#This Row],[Date]],"mmm")</f>
        <v>Nov</v>
      </c>
      <c r="P991" t="str">
        <f>IF(Table1[[#This Row],[Total_Cost]]&lt;25,"low",IF(Table1[[#This Row],[Total_Cost]]&lt;60,"medium","high"))</f>
        <v>low</v>
      </c>
      <c r="Q991" t="str">
        <f>IF(Table1[[#This Row],[Discount_Applied]]=TRUE,"discount applied","no discount")</f>
        <v>no discount</v>
      </c>
    </row>
    <row r="992" spans="1:17" x14ac:dyDescent="0.3">
      <c r="A992">
        <v>1000000990</v>
      </c>
      <c r="B992" s="1">
        <v>44927.251377314817</v>
      </c>
      <c r="C992" t="s">
        <v>1890</v>
      </c>
      <c r="D992" t="s">
        <v>1891</v>
      </c>
      <c r="E992">
        <v>7</v>
      </c>
      <c r="F992">
        <v>10.43</v>
      </c>
      <c r="G992" t="s">
        <v>41</v>
      </c>
      <c r="H992" t="s">
        <v>24</v>
      </c>
      <c r="I992" t="s">
        <v>33</v>
      </c>
      <c r="J992" t="b">
        <v>1</v>
      </c>
      <c r="K992" t="s">
        <v>80</v>
      </c>
      <c r="L992" t="s">
        <v>52</v>
      </c>
      <c r="M992" t="s">
        <v>20</v>
      </c>
      <c r="N992">
        <f>YEAR(Table1[[#This Row],[Date]])</f>
        <v>2023</v>
      </c>
      <c r="O992" t="str">
        <f>TEXT(Table1[[#This Row],[Date]],"mmm")</f>
        <v>Jan</v>
      </c>
      <c r="P992" t="str">
        <f>IF(Table1[[#This Row],[Total_Cost]]&lt;25,"low",IF(Table1[[#This Row],[Total_Cost]]&lt;60,"medium","high"))</f>
        <v>low</v>
      </c>
      <c r="Q992" t="str">
        <f>IF(Table1[[#This Row],[Discount_Applied]]=TRUE,"discount applied","no discount")</f>
        <v>discount applied</v>
      </c>
    </row>
    <row r="993" spans="1:17" x14ac:dyDescent="0.3">
      <c r="A993">
        <v>1000000991</v>
      </c>
      <c r="B993" s="1">
        <v>44894.024629629632</v>
      </c>
      <c r="C993" t="s">
        <v>1892</v>
      </c>
      <c r="D993" t="s">
        <v>1893</v>
      </c>
      <c r="E993">
        <v>10</v>
      </c>
      <c r="F993">
        <v>61.89</v>
      </c>
      <c r="G993" t="s">
        <v>23</v>
      </c>
      <c r="H993" t="s">
        <v>77</v>
      </c>
      <c r="I993" t="s">
        <v>17</v>
      </c>
      <c r="J993" t="b">
        <v>1</v>
      </c>
      <c r="K993" t="s">
        <v>51</v>
      </c>
      <c r="L993" t="s">
        <v>19</v>
      </c>
      <c r="M993" t="s">
        <v>43</v>
      </c>
      <c r="N993">
        <f>YEAR(Table1[[#This Row],[Date]])</f>
        <v>2022</v>
      </c>
      <c r="O993" t="str">
        <f>TEXT(Table1[[#This Row],[Date]],"mmm")</f>
        <v>Nov</v>
      </c>
      <c r="P993" t="str">
        <f>IF(Table1[[#This Row],[Total_Cost]]&lt;25,"low",IF(Table1[[#This Row],[Total_Cost]]&lt;60,"medium","high"))</f>
        <v>high</v>
      </c>
      <c r="Q993" t="str">
        <f>IF(Table1[[#This Row],[Discount_Applied]]=TRUE,"discount applied","no discount")</f>
        <v>discount applied</v>
      </c>
    </row>
    <row r="994" spans="1:17" x14ac:dyDescent="0.3">
      <c r="A994">
        <v>1000000992</v>
      </c>
      <c r="B994" s="1">
        <v>44933.753391203703</v>
      </c>
      <c r="C994" t="s">
        <v>1894</v>
      </c>
      <c r="D994" t="s">
        <v>707</v>
      </c>
      <c r="E994">
        <v>7</v>
      </c>
      <c r="F994">
        <v>98.9</v>
      </c>
      <c r="G994" t="s">
        <v>31</v>
      </c>
      <c r="H994" t="s">
        <v>77</v>
      </c>
      <c r="I994" t="s">
        <v>25</v>
      </c>
      <c r="J994" t="b">
        <v>0</v>
      </c>
      <c r="K994" t="s">
        <v>18</v>
      </c>
      <c r="L994" t="s">
        <v>52</v>
      </c>
      <c r="M994" t="s">
        <v>20</v>
      </c>
      <c r="N994">
        <f>YEAR(Table1[[#This Row],[Date]])</f>
        <v>2023</v>
      </c>
      <c r="O994" t="str">
        <f>TEXT(Table1[[#This Row],[Date]],"mmm")</f>
        <v>Jan</v>
      </c>
      <c r="P994" t="str">
        <f>IF(Table1[[#This Row],[Total_Cost]]&lt;25,"low",IF(Table1[[#This Row],[Total_Cost]]&lt;60,"medium","high"))</f>
        <v>high</v>
      </c>
      <c r="Q994" t="str">
        <f>IF(Table1[[#This Row],[Discount_Applied]]=TRUE,"discount applied","no discount")</f>
        <v>no discount</v>
      </c>
    </row>
    <row r="995" spans="1:17" x14ac:dyDescent="0.3">
      <c r="A995">
        <v>1000000993</v>
      </c>
      <c r="B995" s="1">
        <v>45157.500659722224</v>
      </c>
      <c r="C995" t="s">
        <v>1895</v>
      </c>
      <c r="D995" t="s">
        <v>1896</v>
      </c>
      <c r="E995">
        <v>9</v>
      </c>
      <c r="F995">
        <v>91.61</v>
      </c>
      <c r="G995" t="s">
        <v>23</v>
      </c>
      <c r="H995" t="s">
        <v>129</v>
      </c>
      <c r="I995" t="s">
        <v>33</v>
      </c>
      <c r="J995" t="b">
        <v>0</v>
      </c>
      <c r="K995" t="s">
        <v>26</v>
      </c>
      <c r="L995" t="s">
        <v>52</v>
      </c>
      <c r="M995" t="s">
        <v>28</v>
      </c>
      <c r="N995">
        <f>YEAR(Table1[[#This Row],[Date]])</f>
        <v>2023</v>
      </c>
      <c r="O995" t="str">
        <f>TEXT(Table1[[#This Row],[Date]],"mmm")</f>
        <v>Aug</v>
      </c>
      <c r="P995" t="str">
        <f>IF(Table1[[#This Row],[Total_Cost]]&lt;25,"low",IF(Table1[[#This Row],[Total_Cost]]&lt;60,"medium","high"))</f>
        <v>high</v>
      </c>
      <c r="Q995" t="str">
        <f>IF(Table1[[#This Row],[Discount_Applied]]=TRUE,"discount applied","no discount")</f>
        <v>no discount</v>
      </c>
    </row>
    <row r="996" spans="1:17" x14ac:dyDescent="0.3">
      <c r="A996">
        <v>1000000994</v>
      </c>
      <c r="B996" s="1">
        <v>44112.602592592593</v>
      </c>
      <c r="C996" t="s">
        <v>1897</v>
      </c>
      <c r="D996" t="s">
        <v>1898</v>
      </c>
      <c r="E996">
        <v>10</v>
      </c>
      <c r="F996">
        <v>28.09</v>
      </c>
      <c r="G996" t="s">
        <v>15</v>
      </c>
      <c r="H996" t="s">
        <v>50</v>
      </c>
      <c r="I996" t="s">
        <v>33</v>
      </c>
      <c r="J996" t="b">
        <v>1</v>
      </c>
      <c r="K996" t="s">
        <v>62</v>
      </c>
      <c r="L996" t="s">
        <v>38</v>
      </c>
      <c r="M996" t="s">
        <v>43</v>
      </c>
      <c r="N996">
        <f>YEAR(Table1[[#This Row],[Date]])</f>
        <v>2020</v>
      </c>
      <c r="O996" t="str">
        <f>TEXT(Table1[[#This Row],[Date]],"mmm")</f>
        <v>Oct</v>
      </c>
      <c r="P996" t="str">
        <f>IF(Table1[[#This Row],[Total_Cost]]&lt;25,"low",IF(Table1[[#This Row],[Total_Cost]]&lt;60,"medium","high"))</f>
        <v>medium</v>
      </c>
      <c r="Q996" t="str">
        <f>IF(Table1[[#This Row],[Discount_Applied]]=TRUE,"discount applied","no discount")</f>
        <v>discount applied</v>
      </c>
    </row>
    <row r="997" spans="1:17" x14ac:dyDescent="0.3">
      <c r="A997">
        <v>1000000995</v>
      </c>
      <c r="B997" s="1">
        <v>44278.797037037039</v>
      </c>
      <c r="C997" t="s">
        <v>1899</v>
      </c>
      <c r="D997" t="s">
        <v>1900</v>
      </c>
      <c r="E997">
        <v>5</v>
      </c>
      <c r="F997">
        <v>16.32</v>
      </c>
      <c r="G997" t="s">
        <v>23</v>
      </c>
      <c r="H997" t="s">
        <v>70</v>
      </c>
      <c r="I997" t="s">
        <v>46</v>
      </c>
      <c r="J997" t="b">
        <v>0</v>
      </c>
      <c r="K997" t="s">
        <v>18</v>
      </c>
      <c r="L997" t="s">
        <v>38</v>
      </c>
      <c r="M997" t="s">
        <v>28</v>
      </c>
      <c r="N997">
        <f>YEAR(Table1[[#This Row],[Date]])</f>
        <v>2021</v>
      </c>
      <c r="O997" t="str">
        <f>TEXT(Table1[[#This Row],[Date]],"mmm")</f>
        <v>Mar</v>
      </c>
      <c r="P997" t="str">
        <f>IF(Table1[[#This Row],[Total_Cost]]&lt;25,"low",IF(Table1[[#This Row],[Total_Cost]]&lt;60,"medium","high"))</f>
        <v>low</v>
      </c>
      <c r="Q997" t="str">
        <f>IF(Table1[[#This Row],[Discount_Applied]]=TRUE,"discount applied","no discount")</f>
        <v>no discount</v>
      </c>
    </row>
    <row r="998" spans="1:17" x14ac:dyDescent="0.3">
      <c r="A998">
        <v>1000000996</v>
      </c>
      <c r="B998" s="1">
        <v>44222.713969907411</v>
      </c>
      <c r="C998" t="s">
        <v>1901</v>
      </c>
      <c r="D998" t="s">
        <v>56</v>
      </c>
      <c r="E998">
        <v>5</v>
      </c>
      <c r="F998">
        <v>11.86</v>
      </c>
      <c r="G998" t="s">
        <v>31</v>
      </c>
      <c r="H998" t="s">
        <v>96</v>
      </c>
      <c r="I998" t="s">
        <v>37</v>
      </c>
      <c r="J998" t="b">
        <v>0</v>
      </c>
      <c r="K998" t="s">
        <v>18</v>
      </c>
      <c r="L998" t="s">
        <v>19</v>
      </c>
      <c r="M998" t="s">
        <v>20</v>
      </c>
      <c r="N998">
        <f>YEAR(Table1[[#This Row],[Date]])</f>
        <v>2021</v>
      </c>
      <c r="O998" t="str">
        <f>TEXT(Table1[[#This Row],[Date]],"mmm")</f>
        <v>Jan</v>
      </c>
      <c r="P998" t="str">
        <f>IF(Table1[[#This Row],[Total_Cost]]&lt;25,"low",IF(Table1[[#This Row],[Total_Cost]]&lt;60,"medium","high"))</f>
        <v>low</v>
      </c>
      <c r="Q998" t="str">
        <f>IF(Table1[[#This Row],[Discount_Applied]]=TRUE,"discount applied","no discount")</f>
        <v>no discount</v>
      </c>
    </row>
    <row r="999" spans="1:17" x14ac:dyDescent="0.3">
      <c r="A999">
        <v>1000000997</v>
      </c>
      <c r="B999" s="1">
        <v>44571.629884259259</v>
      </c>
      <c r="C999" t="s">
        <v>1902</v>
      </c>
      <c r="D999" t="s">
        <v>1903</v>
      </c>
      <c r="E999">
        <v>4</v>
      </c>
      <c r="F999">
        <v>14.77</v>
      </c>
      <c r="G999" t="s">
        <v>15</v>
      </c>
      <c r="H999" t="s">
        <v>16</v>
      </c>
      <c r="I999" t="s">
        <v>59</v>
      </c>
      <c r="J999" t="b">
        <v>0</v>
      </c>
      <c r="K999" t="s">
        <v>80</v>
      </c>
      <c r="L999" t="s">
        <v>52</v>
      </c>
      <c r="M999" t="s">
        <v>28</v>
      </c>
      <c r="N999">
        <f>YEAR(Table1[[#This Row],[Date]])</f>
        <v>2022</v>
      </c>
      <c r="O999" t="str">
        <f>TEXT(Table1[[#This Row],[Date]],"mmm")</f>
        <v>Jan</v>
      </c>
      <c r="P999" t="str">
        <f>IF(Table1[[#This Row],[Total_Cost]]&lt;25,"low",IF(Table1[[#This Row],[Total_Cost]]&lt;60,"medium","high"))</f>
        <v>low</v>
      </c>
      <c r="Q999" t="str">
        <f>IF(Table1[[#This Row],[Discount_Applied]]=TRUE,"discount applied","no discount")</f>
        <v>no discount</v>
      </c>
    </row>
    <row r="1000" spans="1:17" x14ac:dyDescent="0.3">
      <c r="A1000">
        <v>1000000998</v>
      </c>
      <c r="B1000" s="1">
        <v>45323.656747685185</v>
      </c>
      <c r="C1000" t="s">
        <v>1904</v>
      </c>
      <c r="D1000" t="s">
        <v>1905</v>
      </c>
      <c r="E1000">
        <v>4</v>
      </c>
      <c r="F1000">
        <v>77.62</v>
      </c>
      <c r="G1000" t="s">
        <v>41</v>
      </c>
      <c r="H1000" t="s">
        <v>50</v>
      </c>
      <c r="I1000" t="s">
        <v>17</v>
      </c>
      <c r="J1000" t="b">
        <v>0</v>
      </c>
      <c r="K1000" t="s">
        <v>26</v>
      </c>
      <c r="L1000" t="s">
        <v>52</v>
      </c>
      <c r="M1000" t="s">
        <v>43</v>
      </c>
      <c r="N1000">
        <f>YEAR(Table1[[#This Row],[Date]])</f>
        <v>2024</v>
      </c>
      <c r="O1000" t="str">
        <f>TEXT(Table1[[#This Row],[Date]],"mmm")</f>
        <v>Feb</v>
      </c>
      <c r="P1000" t="str">
        <f>IF(Table1[[#This Row],[Total_Cost]]&lt;25,"low",IF(Table1[[#This Row],[Total_Cost]]&lt;60,"medium","high"))</f>
        <v>high</v>
      </c>
      <c r="Q1000" t="str">
        <f>IF(Table1[[#This Row],[Discount_Applied]]=TRUE,"discount applied","no discount")</f>
        <v>no discount</v>
      </c>
    </row>
  </sheetData>
  <phoneticPr fontId="18" type="noConversion"/>
  <conditionalFormatting sqref="F1:F1048576">
    <cfRule type="colorScale" priority="4">
      <colorScale>
        <cfvo type="min"/>
        <cfvo type="percentile" val="50"/>
        <cfvo type="max"/>
        <color rgb="FFF8696B"/>
        <color rgb="FFFFEB84"/>
        <color rgb="FF63BE7B"/>
      </colorScale>
    </cfRule>
  </conditionalFormatting>
  <conditionalFormatting sqref="P1:P1048576">
    <cfRule type="containsText" dxfId="2" priority="1" operator="containsText" text="low">
      <formula>NOT(ISERROR(SEARCH("low",P1)))</formula>
    </cfRule>
    <cfRule type="containsText" dxfId="1" priority="2" operator="containsText" text="medium">
      <formula>NOT(ISERROR(SEARCH("medium",P1)))</formula>
    </cfRule>
    <cfRule type="containsText" dxfId="0" priority="3" operator="containsText" text="high">
      <formula>NOT(ISERROR(SEARCH("high",P1)))</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CD92B-319B-4939-8F4B-99FD04446931}">
  <dimension ref="A1:D2"/>
  <sheetViews>
    <sheetView workbookViewId="0">
      <selection activeCell="D2" sqref="D2"/>
    </sheetView>
  </sheetViews>
  <sheetFormatPr defaultRowHeight="14" x14ac:dyDescent="0.3"/>
  <cols>
    <col min="1" max="1" width="12.54296875" bestFit="1" customWidth="1"/>
    <col min="2" max="2" width="16.6328125" customWidth="1"/>
    <col min="3" max="3" width="26.54296875" bestFit="1" customWidth="1"/>
    <col min="4" max="4" width="13.1796875" customWidth="1"/>
  </cols>
  <sheetData>
    <row r="1" spans="1:4" x14ac:dyDescent="0.3">
      <c r="A1" s="2" t="s">
        <v>1915</v>
      </c>
      <c r="B1" s="2" t="s">
        <v>1916</v>
      </c>
      <c r="C1" s="2" t="s">
        <v>1917</v>
      </c>
      <c r="D1" s="5" t="s">
        <v>1918</v>
      </c>
    </row>
    <row r="2" spans="1:4" x14ac:dyDescent="0.3">
      <c r="A2">
        <v>1000000002</v>
      </c>
      <c r="B2" t="str">
        <f>VLOOKUP(A2,Table1[[Transaction_ID]:[Customer_Name]],3,FALSE)</f>
        <v>Lisa Graves</v>
      </c>
      <c r="C2" t="str">
        <f>INDEX(Table1[Customer_Name],MATCH(A2,Table1[Transaction_ID],0))</f>
        <v>Lisa Graves</v>
      </c>
      <c r="D2">
        <f>VLOOKUP(A2,Table1[[Transaction_ID]:[Total_Cost]],6,FALSE)</f>
        <v>41.49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76A14-7D7A-4B25-A26A-DE57DC353A7C}">
  <dimension ref="A3:B14"/>
  <sheetViews>
    <sheetView workbookViewId="0">
      <selection activeCell="L19" sqref="L19"/>
    </sheetView>
  </sheetViews>
  <sheetFormatPr defaultRowHeight="14" x14ac:dyDescent="0.3"/>
  <cols>
    <col min="1" max="1" width="13.1796875" bestFit="1" customWidth="1"/>
    <col min="2" max="2" width="17" bestFit="1" customWidth="1"/>
  </cols>
  <sheetData>
    <row r="3" spans="1:2" x14ac:dyDescent="0.3">
      <c r="A3" s="3" t="s">
        <v>1906</v>
      </c>
      <c r="B3" t="s">
        <v>1908</v>
      </c>
    </row>
    <row r="4" spans="1:2" x14ac:dyDescent="0.3">
      <c r="A4" s="4" t="s">
        <v>129</v>
      </c>
      <c r="B4" s="23">
        <v>4497.5300000000007</v>
      </c>
    </row>
    <row r="5" spans="1:2" x14ac:dyDescent="0.3">
      <c r="A5" s="4" t="s">
        <v>50</v>
      </c>
      <c r="B5" s="23">
        <v>4775.4300000000012</v>
      </c>
    </row>
    <row r="6" spans="1:2" x14ac:dyDescent="0.3">
      <c r="A6" s="4" t="s">
        <v>36</v>
      </c>
      <c r="B6" s="23">
        <v>5554.1699999999992</v>
      </c>
    </row>
    <row r="7" spans="1:2" x14ac:dyDescent="0.3">
      <c r="A7" s="4" t="s">
        <v>96</v>
      </c>
      <c r="B7" s="23">
        <v>5160.7700000000023</v>
      </c>
    </row>
    <row r="8" spans="1:2" x14ac:dyDescent="0.3">
      <c r="A8" s="4" t="s">
        <v>32</v>
      </c>
      <c r="B8" s="23">
        <v>5025.6699999999983</v>
      </c>
    </row>
    <row r="9" spans="1:2" x14ac:dyDescent="0.3">
      <c r="A9" s="4" t="s">
        <v>16</v>
      </c>
      <c r="B9" s="23">
        <v>5551.829999999999</v>
      </c>
    </row>
    <row r="10" spans="1:2" x14ac:dyDescent="0.3">
      <c r="A10" s="4" t="s">
        <v>77</v>
      </c>
      <c r="B10" s="23">
        <v>6008.34</v>
      </c>
    </row>
    <row r="11" spans="1:2" x14ac:dyDescent="0.3">
      <c r="A11" s="4" t="s">
        <v>65</v>
      </c>
      <c r="B11" s="23">
        <v>3882.62</v>
      </c>
    </row>
    <row r="12" spans="1:2" x14ac:dyDescent="0.3">
      <c r="A12" s="4" t="s">
        <v>24</v>
      </c>
      <c r="B12" s="23">
        <v>6986.5200000000023</v>
      </c>
    </row>
    <row r="13" spans="1:2" x14ac:dyDescent="0.3">
      <c r="A13" s="4" t="s">
        <v>70</v>
      </c>
      <c r="B13" s="23">
        <v>5195.4400000000014</v>
      </c>
    </row>
    <row r="14" spans="1:2" x14ac:dyDescent="0.3">
      <c r="A14" s="4" t="s">
        <v>1907</v>
      </c>
      <c r="B14" s="23">
        <v>52638.320000000007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504F0-E303-47CC-9463-5821252F5145}">
  <dimension ref="A3:B8"/>
  <sheetViews>
    <sheetView workbookViewId="0">
      <selection activeCell="B18" sqref="B18"/>
    </sheetView>
  </sheetViews>
  <sheetFormatPr defaultRowHeight="14" x14ac:dyDescent="0.3"/>
  <cols>
    <col min="1" max="1" width="14" bestFit="1" customWidth="1"/>
    <col min="2" max="2" width="17" bestFit="1" customWidth="1"/>
  </cols>
  <sheetData>
    <row r="3" spans="1:2" x14ac:dyDescent="0.3">
      <c r="A3" s="3" t="s">
        <v>1906</v>
      </c>
      <c r="B3" t="s">
        <v>1908</v>
      </c>
    </row>
    <row r="4" spans="1:2" x14ac:dyDescent="0.3">
      <c r="A4" s="4" t="s">
        <v>23</v>
      </c>
      <c r="B4" s="23">
        <v>12852.540000000005</v>
      </c>
    </row>
    <row r="5" spans="1:2" x14ac:dyDescent="0.3">
      <c r="A5" s="4" t="s">
        <v>31</v>
      </c>
      <c r="B5" s="23">
        <v>12528.449999999995</v>
      </c>
    </row>
    <row r="6" spans="1:2" x14ac:dyDescent="0.3">
      <c r="A6" s="4" t="s">
        <v>41</v>
      </c>
      <c r="B6" s="23">
        <v>14408.13000000001</v>
      </c>
    </row>
    <row r="7" spans="1:2" x14ac:dyDescent="0.3">
      <c r="A7" s="4" t="s">
        <v>15</v>
      </c>
      <c r="B7" s="23">
        <v>12849.199999999997</v>
      </c>
    </row>
    <row r="8" spans="1:2" x14ac:dyDescent="0.3">
      <c r="A8" s="4" t="s">
        <v>1907</v>
      </c>
      <c r="B8" s="23">
        <v>52638.320000000007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2FA0-662B-4457-A523-C7B3F7FF077B}">
  <dimension ref="A3:C10"/>
  <sheetViews>
    <sheetView workbookViewId="0">
      <selection activeCell="B17" sqref="B17"/>
    </sheetView>
  </sheetViews>
  <sheetFormatPr defaultRowHeight="14" x14ac:dyDescent="0.3"/>
  <cols>
    <col min="1" max="1" width="15.90625" bestFit="1" customWidth="1"/>
    <col min="2" max="2" width="22.6328125" bestFit="1" customWidth="1"/>
    <col min="3" max="3" width="17" bestFit="1" customWidth="1"/>
  </cols>
  <sheetData>
    <row r="3" spans="1:3" x14ac:dyDescent="0.3">
      <c r="A3" s="3" t="s">
        <v>1906</v>
      </c>
      <c r="B3" t="s">
        <v>1910</v>
      </c>
      <c r="C3" t="s">
        <v>1908</v>
      </c>
    </row>
    <row r="4" spans="1:3" x14ac:dyDescent="0.3">
      <c r="A4" s="4" t="s">
        <v>59</v>
      </c>
      <c r="B4" s="23">
        <v>180</v>
      </c>
      <c r="C4" s="23">
        <v>9658.7799999999988</v>
      </c>
    </row>
    <row r="5" spans="1:3" x14ac:dyDescent="0.3">
      <c r="A5" s="4" t="s">
        <v>33</v>
      </c>
      <c r="B5" s="23">
        <v>178</v>
      </c>
      <c r="C5" s="23">
        <v>9386.6500000000015</v>
      </c>
    </row>
    <row r="6" spans="1:3" x14ac:dyDescent="0.3">
      <c r="A6" s="4" t="s">
        <v>37</v>
      </c>
      <c r="B6" s="23">
        <v>165</v>
      </c>
      <c r="C6" s="23">
        <v>8505.5799999999981</v>
      </c>
    </row>
    <row r="7" spans="1:3" x14ac:dyDescent="0.3">
      <c r="A7" s="4" t="s">
        <v>25</v>
      </c>
      <c r="B7" s="23">
        <v>164</v>
      </c>
      <c r="C7" s="23">
        <v>8575.8600000000024</v>
      </c>
    </row>
    <row r="8" spans="1:3" x14ac:dyDescent="0.3">
      <c r="A8" s="4" t="s">
        <v>46</v>
      </c>
      <c r="B8" s="23">
        <v>162</v>
      </c>
      <c r="C8" s="23">
        <v>8613.9200000000019</v>
      </c>
    </row>
    <row r="9" spans="1:3" x14ac:dyDescent="0.3">
      <c r="A9" s="4" t="s">
        <v>17</v>
      </c>
      <c r="B9" s="23">
        <v>150</v>
      </c>
      <c r="C9" s="23">
        <v>7897.5300000000007</v>
      </c>
    </row>
    <row r="10" spans="1:3" x14ac:dyDescent="0.3">
      <c r="A10" s="4" t="s">
        <v>1907</v>
      </c>
      <c r="B10" s="23">
        <v>999</v>
      </c>
      <c r="C10" s="23">
        <v>52638.319999999956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4A3CF-9AB2-43A1-8C39-A5E7686252E1}">
  <dimension ref="A3:B8"/>
  <sheetViews>
    <sheetView workbookViewId="0">
      <selection activeCell="B16" sqref="B16"/>
    </sheetView>
  </sheetViews>
  <sheetFormatPr defaultRowHeight="14" x14ac:dyDescent="0.3"/>
  <cols>
    <col min="1" max="1" width="13.1796875" bestFit="1" customWidth="1"/>
    <col min="2" max="2" width="17" bestFit="1" customWidth="1"/>
  </cols>
  <sheetData>
    <row r="3" spans="1:2" x14ac:dyDescent="0.3">
      <c r="A3" s="3" t="s">
        <v>1906</v>
      </c>
      <c r="B3" t="s">
        <v>1908</v>
      </c>
    </row>
    <row r="4" spans="1:2" x14ac:dyDescent="0.3">
      <c r="A4" s="4" t="s">
        <v>27</v>
      </c>
      <c r="B4" s="23">
        <v>13426.410000000005</v>
      </c>
    </row>
    <row r="5" spans="1:2" x14ac:dyDescent="0.3">
      <c r="A5" s="4" t="s">
        <v>38</v>
      </c>
      <c r="B5" s="23">
        <v>12920.769999999997</v>
      </c>
    </row>
    <row r="6" spans="1:2" x14ac:dyDescent="0.3">
      <c r="A6" s="4" t="s">
        <v>52</v>
      </c>
      <c r="B6" s="23">
        <v>11987.300000000012</v>
      </c>
    </row>
    <row r="7" spans="1:2" x14ac:dyDescent="0.3">
      <c r="A7" s="4" t="s">
        <v>19</v>
      </c>
      <c r="B7" s="23">
        <v>14303.839999999995</v>
      </c>
    </row>
    <row r="8" spans="1:2" x14ac:dyDescent="0.3">
      <c r="A8" s="4" t="s">
        <v>1907</v>
      </c>
      <c r="B8" s="23">
        <v>52638.320000000007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B31B0-FCE3-4E30-98A9-F3128D960200}">
  <dimension ref="A3:C12"/>
  <sheetViews>
    <sheetView workbookViewId="0">
      <selection activeCell="C18" sqref="C18"/>
    </sheetView>
  </sheetViews>
  <sheetFormatPr defaultRowHeight="14" x14ac:dyDescent="0.3"/>
  <cols>
    <col min="1" max="1" width="13.1796875" bestFit="1" customWidth="1"/>
    <col min="2" max="2" width="17" bestFit="1" customWidth="1"/>
    <col min="3" max="3" width="22.6328125" bestFit="1" customWidth="1"/>
  </cols>
  <sheetData>
    <row r="3" spans="1:3" x14ac:dyDescent="0.3">
      <c r="A3" s="3" t="s">
        <v>1906</v>
      </c>
      <c r="B3" t="s">
        <v>1908</v>
      </c>
      <c r="C3" t="s">
        <v>1910</v>
      </c>
    </row>
    <row r="4" spans="1:3" x14ac:dyDescent="0.3">
      <c r="A4" s="4" t="s">
        <v>18</v>
      </c>
      <c r="B4" s="23">
        <v>6688.7300000000023</v>
      </c>
      <c r="C4" s="23">
        <v>130</v>
      </c>
    </row>
    <row r="5" spans="1:3" x14ac:dyDescent="0.3">
      <c r="A5" s="4" t="s">
        <v>62</v>
      </c>
      <c r="B5" s="23">
        <v>6511.2800000000007</v>
      </c>
      <c r="C5" s="23">
        <v>125</v>
      </c>
    </row>
    <row r="6" spans="1:3" x14ac:dyDescent="0.3">
      <c r="A6" s="4" t="s">
        <v>26</v>
      </c>
      <c r="B6" s="23">
        <v>6428.380000000001</v>
      </c>
      <c r="C6" s="23">
        <v>114</v>
      </c>
    </row>
    <row r="7" spans="1:3" x14ac:dyDescent="0.3">
      <c r="A7" s="4" t="s">
        <v>47</v>
      </c>
      <c r="B7" s="23">
        <v>6196.5300000000025</v>
      </c>
      <c r="C7" s="23">
        <v>131</v>
      </c>
    </row>
    <row r="8" spans="1:3" x14ac:dyDescent="0.3">
      <c r="A8" s="4" t="s">
        <v>80</v>
      </c>
      <c r="B8" s="23">
        <v>6847.9100000000053</v>
      </c>
      <c r="C8" s="23">
        <v>128</v>
      </c>
    </row>
    <row r="9" spans="1:3" x14ac:dyDescent="0.3">
      <c r="A9" s="4" t="s">
        <v>51</v>
      </c>
      <c r="B9" s="23">
        <v>6541.7099999999964</v>
      </c>
      <c r="C9" s="23">
        <v>123</v>
      </c>
    </row>
    <row r="10" spans="1:3" x14ac:dyDescent="0.3">
      <c r="A10" s="4" t="s">
        <v>87</v>
      </c>
      <c r="B10" s="23">
        <v>6803.8600000000006</v>
      </c>
      <c r="C10" s="23">
        <v>131</v>
      </c>
    </row>
    <row r="11" spans="1:3" x14ac:dyDescent="0.3">
      <c r="A11" s="4" t="s">
        <v>42</v>
      </c>
      <c r="B11" s="23">
        <v>6619.9199999999992</v>
      </c>
      <c r="C11" s="23">
        <v>117</v>
      </c>
    </row>
    <row r="12" spans="1:3" x14ac:dyDescent="0.3">
      <c r="A12" s="4" t="s">
        <v>1907</v>
      </c>
      <c r="B12" s="23">
        <v>52638.320000000043</v>
      </c>
      <c r="C12" s="23">
        <v>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CB18-D4FA-4469-A9E5-977BC688B85D}">
  <dimension ref="A3:C22"/>
  <sheetViews>
    <sheetView workbookViewId="0">
      <selection activeCell="B6" sqref="B6"/>
    </sheetView>
  </sheetViews>
  <sheetFormatPr defaultRowHeight="14" x14ac:dyDescent="0.3"/>
  <cols>
    <col min="1" max="1" width="26" bestFit="1" customWidth="1"/>
    <col min="2" max="2" width="17" bestFit="1" customWidth="1"/>
    <col min="3" max="3" width="21.1796875" bestFit="1" customWidth="1"/>
  </cols>
  <sheetData>
    <row r="3" spans="1:3" x14ac:dyDescent="0.3">
      <c r="A3" s="3" t="s">
        <v>1906</v>
      </c>
      <c r="B3" t="s">
        <v>1908</v>
      </c>
      <c r="C3" t="s">
        <v>1909</v>
      </c>
    </row>
    <row r="4" spans="1:3" x14ac:dyDescent="0.3">
      <c r="A4" s="4" t="s">
        <v>28</v>
      </c>
      <c r="B4" s="23">
        <v>17301.86</v>
      </c>
      <c r="C4" s="23">
        <v>329000166963</v>
      </c>
    </row>
    <row r="5" spans="1:3" x14ac:dyDescent="0.3">
      <c r="A5" s="24" t="s">
        <v>1961</v>
      </c>
      <c r="B5" s="23">
        <v>3984.2499999999991</v>
      </c>
      <c r="C5" s="23">
        <v>78000042908</v>
      </c>
    </row>
    <row r="6" spans="1:3" x14ac:dyDescent="0.3">
      <c r="A6" s="24" t="s">
        <v>1962</v>
      </c>
      <c r="B6" s="23">
        <v>3603.7500000000005</v>
      </c>
      <c r="C6" s="23">
        <v>75000035998</v>
      </c>
    </row>
    <row r="7" spans="1:3" x14ac:dyDescent="0.3">
      <c r="A7" s="24" t="s">
        <v>1963</v>
      </c>
      <c r="B7" s="23">
        <v>3547.5799999999995</v>
      </c>
      <c r="C7" s="23">
        <v>67000035057</v>
      </c>
    </row>
    <row r="8" spans="1:3" x14ac:dyDescent="0.3">
      <c r="A8" s="24" t="s">
        <v>1964</v>
      </c>
      <c r="B8" s="23">
        <v>4370.66</v>
      </c>
      <c r="C8" s="23">
        <v>75000036927</v>
      </c>
    </row>
    <row r="9" spans="1:3" x14ac:dyDescent="0.3">
      <c r="A9" s="24" t="s">
        <v>1965</v>
      </c>
      <c r="B9" s="23">
        <v>1795.6200000000006</v>
      </c>
      <c r="C9" s="23">
        <v>34000016073</v>
      </c>
    </row>
    <row r="10" spans="1:3" x14ac:dyDescent="0.3">
      <c r="A10" s="4" t="s">
        <v>43</v>
      </c>
      <c r="B10" s="23">
        <v>16377.480000000001</v>
      </c>
      <c r="C10" s="23">
        <v>313000156254</v>
      </c>
    </row>
    <row r="11" spans="1:3" x14ac:dyDescent="0.3">
      <c r="A11" s="24" t="s">
        <v>1961</v>
      </c>
      <c r="B11" s="23">
        <v>3799.9700000000012</v>
      </c>
      <c r="C11" s="23">
        <v>80000038811</v>
      </c>
    </row>
    <row r="12" spans="1:3" x14ac:dyDescent="0.3">
      <c r="A12" s="24" t="s">
        <v>1962</v>
      </c>
      <c r="B12" s="23">
        <v>4390.7400000000016</v>
      </c>
      <c r="C12" s="23">
        <v>79000041308</v>
      </c>
    </row>
    <row r="13" spans="1:3" x14ac:dyDescent="0.3">
      <c r="A13" s="24" t="s">
        <v>1963</v>
      </c>
      <c r="B13" s="23">
        <v>3528.4899999999989</v>
      </c>
      <c r="C13" s="23">
        <v>69000036374</v>
      </c>
    </row>
    <row r="14" spans="1:3" x14ac:dyDescent="0.3">
      <c r="A14" s="24" t="s">
        <v>1964</v>
      </c>
      <c r="B14" s="23">
        <v>3147.5199999999995</v>
      </c>
      <c r="C14" s="23">
        <v>61000025088</v>
      </c>
    </row>
    <row r="15" spans="1:3" x14ac:dyDescent="0.3">
      <c r="A15" s="24" t="s">
        <v>1965</v>
      </c>
      <c r="B15" s="23">
        <v>1510.7599999999998</v>
      </c>
      <c r="C15" s="23">
        <v>24000014673</v>
      </c>
    </row>
    <row r="16" spans="1:3" x14ac:dyDescent="0.3">
      <c r="A16" s="4" t="s">
        <v>20</v>
      </c>
      <c r="B16" s="23">
        <v>18958.980000000003</v>
      </c>
      <c r="C16" s="23">
        <v>357000175284</v>
      </c>
    </row>
    <row r="17" spans="1:3" x14ac:dyDescent="0.3">
      <c r="A17" s="24" t="s">
        <v>1961</v>
      </c>
      <c r="B17" s="23">
        <v>5029.0400000000009</v>
      </c>
      <c r="C17" s="23">
        <v>87000041930</v>
      </c>
    </row>
    <row r="18" spans="1:3" x14ac:dyDescent="0.3">
      <c r="A18" s="24" t="s">
        <v>1962</v>
      </c>
      <c r="B18" s="23">
        <v>4371.0500000000011</v>
      </c>
      <c r="C18" s="23">
        <v>84000039252</v>
      </c>
    </row>
    <row r="19" spans="1:3" x14ac:dyDescent="0.3">
      <c r="A19" s="24" t="s">
        <v>1963</v>
      </c>
      <c r="B19" s="23">
        <v>3960.5599999999981</v>
      </c>
      <c r="C19" s="23">
        <v>73000035649</v>
      </c>
    </row>
    <row r="20" spans="1:3" x14ac:dyDescent="0.3">
      <c r="A20" s="24" t="s">
        <v>1964</v>
      </c>
      <c r="B20" s="23">
        <v>4167.0400000000009</v>
      </c>
      <c r="C20" s="23">
        <v>84000043741</v>
      </c>
    </row>
    <row r="21" spans="1:3" x14ac:dyDescent="0.3">
      <c r="A21" s="24" t="s">
        <v>1965</v>
      </c>
      <c r="B21" s="23">
        <v>1431.29</v>
      </c>
      <c r="C21" s="23">
        <v>29000014712</v>
      </c>
    </row>
    <row r="22" spans="1:3" x14ac:dyDescent="0.3">
      <c r="A22" s="4" t="s">
        <v>1907</v>
      </c>
      <c r="B22" s="23">
        <v>52638.320000000007</v>
      </c>
      <c r="C22" s="23">
        <v>999000498501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0DABD-C3B2-44AD-813F-150F50EC1FB4}">
  <dimension ref="A1:E11"/>
  <sheetViews>
    <sheetView workbookViewId="0">
      <selection activeCell="B4" sqref="B4"/>
    </sheetView>
  </sheetViews>
  <sheetFormatPr defaultRowHeight="14" x14ac:dyDescent="0.3"/>
  <cols>
    <col min="1" max="1" width="11.26953125" style="17" customWidth="1"/>
    <col min="2" max="2" width="51.7265625" customWidth="1"/>
    <col min="4" max="4" width="34" style="17" customWidth="1"/>
    <col min="5" max="5" width="56.7265625" customWidth="1"/>
  </cols>
  <sheetData>
    <row r="1" spans="1:5" x14ac:dyDescent="0.3">
      <c r="A1" s="19" t="s">
        <v>1959</v>
      </c>
      <c r="B1" s="19"/>
      <c r="C1" s="11"/>
      <c r="D1" s="20" t="s">
        <v>1960</v>
      </c>
      <c r="E1" s="20"/>
    </row>
    <row r="2" spans="1:5" x14ac:dyDescent="0.3">
      <c r="A2" s="19"/>
      <c r="B2" s="19"/>
      <c r="C2" s="11"/>
      <c r="D2" s="20"/>
      <c r="E2" s="20"/>
    </row>
    <row r="3" spans="1:5" x14ac:dyDescent="0.3">
      <c r="A3" s="15"/>
      <c r="B3" s="11"/>
      <c r="C3" s="11"/>
      <c r="D3" s="18"/>
      <c r="E3" s="12"/>
    </row>
    <row r="4" spans="1:5" x14ac:dyDescent="0.3">
      <c r="A4" s="13" t="s">
        <v>1931</v>
      </c>
      <c r="B4" s="13" t="s">
        <v>1932</v>
      </c>
      <c r="C4" s="11"/>
      <c r="D4" s="13" t="s">
        <v>1943</v>
      </c>
      <c r="E4" s="13" t="s">
        <v>1944</v>
      </c>
    </row>
    <row r="5" spans="1:5" ht="28" x14ac:dyDescent="0.3">
      <c r="A5" s="16" t="s">
        <v>1933</v>
      </c>
      <c r="B5" s="14" t="s">
        <v>1934</v>
      </c>
      <c r="C5" s="11"/>
      <c r="D5" s="16" t="s">
        <v>1945</v>
      </c>
      <c r="E5" s="14" t="s">
        <v>1946</v>
      </c>
    </row>
    <row r="6" spans="1:5" x14ac:dyDescent="0.3">
      <c r="A6" s="16" t="s">
        <v>1935</v>
      </c>
      <c r="B6" s="14" t="s">
        <v>1936</v>
      </c>
      <c r="C6" s="11"/>
      <c r="D6" s="16" t="s">
        <v>1947</v>
      </c>
      <c r="E6" s="14" t="s">
        <v>1948</v>
      </c>
    </row>
    <row r="7" spans="1:5" ht="28" x14ac:dyDescent="0.3">
      <c r="A7" s="16" t="s">
        <v>1937</v>
      </c>
      <c r="B7" s="14" t="s">
        <v>1938</v>
      </c>
      <c r="C7" s="11"/>
      <c r="D7" s="16" t="s">
        <v>1949</v>
      </c>
      <c r="E7" s="14" t="s">
        <v>1950</v>
      </c>
    </row>
    <row r="8" spans="1:5" ht="28" x14ac:dyDescent="0.3">
      <c r="A8" s="16" t="s">
        <v>1939</v>
      </c>
      <c r="B8" s="14" t="s">
        <v>1940</v>
      </c>
      <c r="C8" s="11"/>
      <c r="D8" s="16" t="s">
        <v>1951</v>
      </c>
      <c r="E8" s="14" t="s">
        <v>1952</v>
      </c>
    </row>
    <row r="9" spans="1:5" ht="28" x14ac:dyDescent="0.3">
      <c r="A9" s="16" t="s">
        <v>1941</v>
      </c>
      <c r="B9" s="14" t="s">
        <v>1942</v>
      </c>
      <c r="C9" s="11"/>
      <c r="D9" s="16" t="s">
        <v>1953</v>
      </c>
      <c r="E9" s="14" t="s">
        <v>1954</v>
      </c>
    </row>
    <row r="10" spans="1:5" x14ac:dyDescent="0.3">
      <c r="A10" s="15"/>
      <c r="B10" s="11"/>
      <c r="C10" s="11"/>
      <c r="D10" s="16" t="s">
        <v>1955</v>
      </c>
      <c r="E10" s="14" t="s">
        <v>1956</v>
      </c>
    </row>
    <row r="11" spans="1:5" x14ac:dyDescent="0.3">
      <c r="A11" s="15"/>
      <c r="B11" s="11"/>
      <c r="C11" s="11"/>
      <c r="D11" s="16" t="s">
        <v>1957</v>
      </c>
      <c r="E11" s="14" t="s">
        <v>1958</v>
      </c>
    </row>
  </sheetData>
  <mergeCells count="2">
    <mergeCell ref="A1:B2"/>
    <mergeCell ref="D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Retail_Transactions_Dataset_</vt:lpstr>
      <vt:lpstr>formulas</vt:lpstr>
      <vt:lpstr>sales_by_city</vt:lpstr>
      <vt:lpstr>payment_mathod_</vt:lpstr>
      <vt:lpstr>store_type_analysis_</vt:lpstr>
      <vt:lpstr>seasonal_sales_</vt:lpstr>
      <vt:lpstr>customer_category_analysis</vt:lpstr>
      <vt:lpstr>promotion</vt:lpstr>
      <vt:lpstr>documantation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vishakha maisuriya</dc:creator>
  <cp:lastModifiedBy>Raj Pranami</cp:lastModifiedBy>
  <dcterms:created xsi:type="dcterms:W3CDTF">2026-10-28T03:23:56Z</dcterms:created>
  <dcterms:modified xsi:type="dcterms:W3CDTF">2026-10-28T05:35:27Z</dcterms:modified>
</cp:coreProperties>
</file>